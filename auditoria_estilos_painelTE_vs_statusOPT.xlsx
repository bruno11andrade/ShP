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Tokens statusOPT" sheetId="2" state="visible" r:id="rId4"/>
    <sheet name="Cores Painel TE" sheetId="3" state="visible" r:id="rId5"/>
    <sheet name="KPIs Painel TE" sheetId="4" state="visible" r:id="rId6"/>
    <sheet name="Ref. statusOPT" sheetId="5" state="visible" r:id="rId7"/>
    <sheet name="Regras de Cor" sheetId="6" state="visible" r:id="rId8"/>
    <sheet name="Gráficos" sheetId="7" state="visible" r:id="rId9"/>
    <sheet name="Componentes" sheetId="8" state="visible" r:id="rId10"/>
    <sheet name="Tipografia" sheetId="9" state="visible" r:id="rId11"/>
    <sheet name="Plano de Ação" sheetId="10" state="visible" r:id="rId12"/>
  </sheets>
  <definedNames>
    <definedName function="false" hidden="true" localSheetId="7" name="_xlnm._FilterDatabase" vbProcedure="false">Componentes!$A$4:$I$25</definedName>
    <definedName function="false" hidden="true" localSheetId="2" name="_xlnm._FilterDatabase" vbProcedure="false">'Cores Painel TE'!$A$4:$I$46</definedName>
    <definedName function="false" hidden="true" localSheetId="6" name="_xlnm._FilterDatabase" vbProcedure="false">Gráficos!$A$4:$M$15</definedName>
    <definedName function="false" hidden="true" localSheetId="3" name="_xlnm._FilterDatabase" vbProcedure="false">'KPIs Painel TE'!$A$4:$R$22</definedName>
    <definedName function="false" hidden="true" localSheetId="9" name="_xlnm._FilterDatabase" vbProcedure="false">'Plano de Ação'!$A$4:$G$19</definedName>
    <definedName function="false" hidden="true" localSheetId="4" name="_xlnm._FilterDatabase" vbProcedure="false">'Ref. statusOPT'!$A$4:$I$24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<sst xmlns="http://schemas.openxmlformats.org/spreadsheetml/2006/main" count="1931" uniqueCount="1013">
  <si>
    <t xml:space="preserve">Auditoria de estilos e cores — Painel Trabalho Extra vs statusOPT</t>
  </si>
  <si>
    <t xml:space="preserve">Objetivo: aproximar ao máximo o painel_trabalho_extra.html da linguagem visual do statusOPT.html (referência). Análise feita sobre os dois ficheiros enviados.</t>
  </si>
  <si>
    <t xml:space="preserve">Ficheiros: painel_trabalho_extra.html (4257 linhas) · statusOPT.html (9101 linhas, versão enviada). As colunas "Prioridade" e "Estado" de cada folha têm listas para ir acompanhando; as contagens abaixo atualizam sozinhas.</t>
  </si>
  <si>
    <t xml:space="preserve">Contagem por folha</t>
  </si>
  <si>
    <t xml:space="preserve">Folha</t>
  </si>
  <si>
    <t xml:space="preserve">Itens</t>
  </si>
  <si>
    <t xml:space="preserve">Alta</t>
  </si>
  <si>
    <t xml:space="preserve">Média</t>
  </si>
  <si>
    <t xml:space="preserve">Baixa</t>
  </si>
  <si>
    <t xml:space="preserve">Feitos</t>
  </si>
  <si>
    <t xml:space="preserve">KPIs Painel TE</t>
  </si>
  <si>
    <t xml:space="preserve">Cores Painel TE</t>
  </si>
  <si>
    <t xml:space="preserve">Gráficos</t>
  </si>
  <si>
    <t xml:space="preserve">Componentes</t>
  </si>
  <si>
    <t xml:space="preserve">Plano de Ação</t>
  </si>
  <si>
    <t xml:space="preserve">Total</t>
  </si>
  <si>
    <t xml:space="preserve">Progresso</t>
  </si>
  <si>
    <t xml:space="preserve">Principais conclusões</t>
  </si>
  <si>
    <t xml:space="preserve">1. Filosofia de cor oposta: o painel pinta o cartão inteiro (fundo + barra lateral) e deixa o número preto; o statusOPT deixa o cartão neutro e pinta só o número. É a mudança com mais impacto visual.</t>
  </si>
  <si>
    <t xml:space="preserve">2. O painel não tem variáveis de tema nem tema escuro: ~40 cores escritas à mão em CSS, HTML inline e JS. O statusOPT concentra tudo em ~27 variáveis e troca de tema num clique.</t>
  </si>
  <si>
    <t xml:space="preserve">3. Cores sem significado de estado: barras laterais azul/verde/amarelo/laranja nos cartões de contagem (Peças, Operadores, Turnos por categoria) competem com o semáforo. No statusOPT só há cor onde há juízo (bom/atenção/mau).</t>
  </si>
  <si>
    <t xml:space="preserve">4. Limiares diferentes para o mesmo conceito: Produzido/Planeado no painel fica verde até 101% e amarelo acima; no statusOPT é verde até 110% e vermelho acima. Propõe-se R1 (statusOPT) para Adesão e Cobertura.</t>
  </si>
  <si>
    <t xml:space="preserve">5. Gráficos sem leitura do tema: eixos, grelha e rótulos usam as cores por defeito do Chart.js e #1e293b — ficam invisíveis num fundo escuro. O statusOPT usa corTema().</t>
  </si>
  <si>
    <t xml:space="preserve">6. Tipografia dispersa: 6 tamanhos de título de KPI (0.6–0.85rem) e 5 de valor (1.5–2.8rem), quase todos inline. O statusOPT usa 3 classes.</t>
  </si>
  <si>
    <t xml:space="preserve">7. O próprio statusOPT tem 2 inconsistências a rever (folha Regras de Cor, N2 e N3) e contraste fraco das cores de semáforo no tema claro (N1).</t>
  </si>
  <si>
    <t xml:space="preserve">Decisões que preciso de ti</t>
  </si>
  <si>
    <t xml:space="preserve">D1. Δ Turnos: limiar entre atraso leve (laranja) e grave (vermelho) — sugestão −3 turnos. E o excesso (Δ &gt; 0) fica verde como no statusOPT, ou ciano para se distinguir do "igual"?</t>
  </si>
  <si>
    <t xml:space="preserve">D2. Cartões de gráfico: retirar a borda superior colorida (o statusOPT não tem) ou mantê-la como código Área/C.C.?</t>
  </si>
  <si>
    <t xml:space="preserve">D3. Tema por defeito no painel: escuro (igual ao statusOPT) ou claro?</t>
  </si>
  <si>
    <t xml:space="preserve">Folhas</t>
  </si>
  <si>
    <t xml:space="preserve">Tokens statusOPT</t>
  </si>
  <si>
    <t xml:space="preserve">Variáveis de tema (escuro/claro) com amostras e cores fixas com contraste.</t>
  </si>
  <si>
    <t xml:space="preserve">Todas as cores do painel, quantas vezes aparecem e por qual substituir.</t>
  </si>
  <si>
    <t xml:space="preserve">Os 18 indicadores do painel, estilo atual vs padrão a aplicar.</t>
  </si>
  <si>
    <t xml:space="preserve">Ref. statusOPT</t>
  </si>
  <si>
    <t xml:space="preserve">Como cada indicador do statusOPT é pintado (referência).</t>
  </si>
  <si>
    <t xml:space="preserve">Regras de Cor</t>
  </si>
  <si>
    <t xml:space="preserve">Limiares de semáforo de ambos e as regras propostas R1–R3.</t>
  </si>
  <si>
    <t xml:space="preserve">Os 11 gráficos do painel: séries, eixos, rótulos.</t>
  </si>
  <si>
    <t xml:space="preserve">Cabeçalho, filtros, acordeão, cartões, tabelas, botões…</t>
  </si>
  <si>
    <t xml:space="preserve">Tipografia</t>
  </si>
  <si>
    <t xml:space="preserve">Escala de tamanhos e pesos.</t>
  </si>
  <si>
    <t xml:space="preserve">Ordem de implementação em 6 fases.</t>
  </si>
  <si>
    <t xml:space="preserve">Paleta de referência — variáveis de tema do statusOPT</t>
  </si>
  <si>
    <t xml:space="preserve">Copiar este bloco :root (escuro, por defeito) e :root[data-theme=light] para o painel é o primeiro passo: todo o resto passa a usar var(--…). As amostras rgba estão misturadas sobre o fundo do respetivo tema.</t>
  </si>
  <si>
    <t xml:space="preserve">Variável CSS</t>
  </si>
  <si>
    <t xml:space="preserve">Tema escuro (defeito)</t>
  </si>
  <si>
    <t xml:space="preserve">Amostra escuro</t>
  </si>
  <si>
    <t xml:space="preserve">Tema claro</t>
  </si>
  <si>
    <t xml:space="preserve">Amostra claro</t>
  </si>
  <si>
    <t xml:space="preserve">Para que serve</t>
  </si>
  <si>
    <t xml:space="preserve">Substitui no painel</t>
  </si>
  <si>
    <t xml:space="preserve">--sp-primary</t>
  </si>
  <si>
    <t xml:space="preserve">#06b6d4</t>
  </si>
  <si>
    <t xml:space="preserve"> </t>
  </si>
  <si>
    <t xml:space="preserve">#06b6d4 (igual)</t>
  </si>
  <si>
    <t xml:space="preserve">Cor primária da marca (ciano)</t>
  </si>
  <si>
    <t xml:space="preserve">--sp-primary #005a9e</t>
  </si>
  <si>
    <t xml:space="preserve">--sp-bg</t>
  </si>
  <si>
    <t xml:space="preserve">#0f172a</t>
  </si>
  <si>
    <t xml:space="preserve">#eef2f7</t>
  </si>
  <si>
    <t xml:space="preserve">Fundo da página</t>
  </si>
  <si>
    <t xml:space="preserve">--sp-bg #f4f6f9, html/body</t>
  </si>
  <si>
    <t xml:space="preserve">--card-shadow</t>
  </si>
  <si>
    <t xml:space="preserve">0 8px 24px rgba(0, 0, 0, 0.4)</t>
  </si>
  <si>
    <t xml:space="preserve">0 2px 8px rgba(15, 23, 42, 0.12)</t>
  </si>
  <si>
    <t xml:space="preserve">Sombra dos cartões</t>
  </si>
  <si>
    <t xml:space="preserve">--card-shadow 0 4px 12px rgba(0,0,0,.06)</t>
  </si>
  <si>
    <t xml:space="preserve">--bg-card</t>
  </si>
  <si>
    <t xml:space="preserve">#1e293b</t>
  </si>
  <si>
    <t xml:space="preserve">#ffffff</t>
  </si>
  <si>
    <t xml:space="preserve">Fundo de cartões, secções, tabelas</t>
  </si>
  <si>
    <t xml:space="preserve">background: white / #fff em todos os cartões</t>
  </si>
  <si>
    <t xml:space="preserve">--bg-subtle</t>
  </si>
  <si>
    <t xml:space="preserve">#090d16</t>
  </si>
  <si>
    <t xml:space="preserve">#e2e8f0</t>
  </si>
  <si>
    <t xml:space="preserve">Fundo de destaque discreto (ex.: desvio do CC)</t>
  </si>
  <si>
    <t xml:space="preserve">accordion-body #f8fafc</t>
  </si>
  <si>
    <t xml:space="preserve">--bg-inset</t>
  </si>
  <si>
    <t xml:space="preserve">#f1f5f9</t>
  </si>
  <si>
    <t xml:space="preserve">Superfícies encaixadas: campos, cabeçalhos de tabela</t>
  </si>
  <si>
    <t xml:space="preserve">table-dark #212529, inputs #fff</t>
  </si>
  <si>
    <t xml:space="preserve">--bg-elevated</t>
  </si>
  <si>
    <t xml:space="preserve">Painéis flutuantes: dropdowns, filtros de coluna</t>
  </si>
  <si>
    <t xml:space="preserve">dropdown-menu (Bootstrap branco)</t>
  </si>
  <si>
    <t xml:space="preserve">--bg-future-row</t>
  </si>
  <si>
    <t xml:space="preserve">rgba(15, 23, 42, 0.8)</t>
  </si>
  <si>
    <t xml:space="preserve">rgba(226, 232, 240, 0.75)</t>
  </si>
  <si>
    <t xml:space="preserve">Linhas de datas futuras</t>
  </si>
  <si>
    <t xml:space="preserve">—</t>
  </si>
  <si>
    <t xml:space="preserve">--bg-stripe</t>
  </si>
  <si>
    <t xml:space="preserve">#162032</t>
  </si>
  <si>
    <t xml:space="preserve">Risca das linhas alternadas</t>
  </si>
  <si>
    <t xml:space="preserve">table-striped (Bootstrap)</t>
  </si>
  <si>
    <t xml:space="preserve">--border-color</t>
  </si>
  <si>
    <t xml:space="preserve">#334155</t>
  </si>
  <si>
    <t xml:space="preserve">#cbd5e1</t>
  </si>
  <si>
    <t xml:space="preserve">Todas as bordas</t>
  </si>
  <si>
    <t xml:space="preserve">#e2e8f0, #ced4da, #dee2e6, #cbd5e1</t>
  </si>
  <si>
    <t xml:space="preserve">--teal-accent</t>
  </si>
  <si>
    <t xml:space="preserve">#14b8a6</t>
  </si>
  <si>
    <t xml:space="preserve">#0f766e</t>
  </si>
  <si>
    <t xml:space="preserve">Acento secundário</t>
  </si>
  <si>
    <t xml:space="preserve">--cyan-accent</t>
  </si>
  <si>
    <t xml:space="preserve">#22d3ee</t>
  </si>
  <si>
    <t xml:space="preserve">#0e7490</t>
  </si>
  <si>
    <t xml:space="preserve">Acento principal: títulos, botões, filtros ativos</t>
  </si>
  <si>
    <t xml:space="preserve">#005a9e (títulos, acordeão), #0d6efd (Bootstrap)</t>
  </si>
  <si>
    <t xml:space="preserve">--text-main</t>
  </si>
  <si>
    <t xml:space="preserve">#f8fafc</t>
  </si>
  <si>
    <t xml:space="preserve">Texto corrente</t>
  </si>
  <si>
    <t xml:space="preserve">body #333, text-dark</t>
  </si>
  <si>
    <t xml:space="preserve">--text-muted</t>
  </si>
  <si>
    <t xml:space="preserve">#94a3b8</t>
  </si>
  <si>
    <t xml:space="preserve">#64748b</t>
  </si>
  <si>
    <t xml:space="preserve">Texto secundário, "sem dados"</t>
  </si>
  <si>
    <t xml:space="preserve">#64748b (kpi-title), text-muted</t>
  </si>
  <si>
    <t xml:space="preserve">--text-label</t>
  </si>
  <si>
    <t xml:space="preserve">Títulos de cartão, cabeçalhos de tabela</t>
  </si>
  <si>
    <t xml:space="preserve">#475569 (section-tag), #64748b</t>
  </si>
  <si>
    <t xml:space="preserve">--text-strong</t>
  </si>
  <si>
    <t xml:space="preserve">Valores sem semáforo (contagens)</t>
  </si>
  <si>
    <t xml:space="preserve">#1e293b, text-dark nos valores</t>
  </si>
  <si>
    <t xml:space="preserve">--on-accent</t>
  </si>
  <si>
    <t xml:space="preserve">Texto por cima da cor de acento</t>
  </si>
  <si>
    <t xml:space="preserve">#fff nos botões ativos</t>
  </si>
  <si>
    <t xml:space="preserve">--chart-text</t>
  </si>
  <si>
    <t xml:space="preserve">#475569</t>
  </si>
  <si>
    <t xml:space="preserve">Eixos dos gráficos</t>
  </si>
  <si>
    <t xml:space="preserve">padrão Chart.js (#666)</t>
  </si>
  <si>
    <t xml:space="preserve">--chart-text-strong</t>
  </si>
  <si>
    <t xml:space="preserve">Rótulos de dados e legendas</t>
  </si>
  <si>
    <t xml:space="preserve">datalabels #1e293b</t>
  </si>
  <si>
    <t xml:space="preserve">--chart-empty</t>
  </si>
  <si>
    <t xml:space="preserve">Mensagem "Sem dados" nos gráficos</t>
  </si>
  <si>
    <t xml:space="preserve">--chart-grid</t>
  </si>
  <si>
    <t xml:space="preserve">rgba(148, 163, 184, 0.1)</t>
  </si>
  <si>
    <t xml:space="preserve">rgba(15, 23, 42, 0.08)</t>
  </si>
  <si>
    <t xml:space="preserve">Grelha dos gráficos</t>
  </si>
  <si>
    <t xml:space="preserve">padrão Chart.js rgba(0,0,0,.1)</t>
  </si>
  <si>
    <t xml:space="preserve">--scheme</t>
  </si>
  <si>
    <t xml:space="preserve">dark</t>
  </si>
  <si>
    <t xml:space="preserve">light</t>
  </si>
  <si>
    <t xml:space="preserve">color-scheme nativo (datas, scrollbars)</t>
  </si>
  <si>
    <t xml:space="preserve">--btn-info</t>
  </si>
  <si>
    <t xml:space="preserve">var(--cyan-accent)</t>
  </si>
  <si>
    <t xml:space="preserve">Botões info</t>
  </si>
  <si>
    <t xml:space="preserve">Bootstrap #0dcaf0</t>
  </si>
  <si>
    <t xml:space="preserve">--btn-secondary</t>
  </si>
  <si>
    <t xml:space="preserve">Botões secundários</t>
  </si>
  <si>
    <t xml:space="preserve">Bootstrap #6c757d</t>
  </si>
  <si>
    <t xml:space="preserve">--btn-warning</t>
  </si>
  <si>
    <t xml:space="preserve">#fbbf24</t>
  </si>
  <si>
    <t xml:space="preserve">#b45309</t>
  </si>
  <si>
    <t xml:space="preserve">Botões aviso</t>
  </si>
  <si>
    <t xml:space="preserve">Bootstrap #ffc107</t>
  </si>
  <si>
    <t xml:space="preserve">--btn-success</t>
  </si>
  <si>
    <t xml:space="preserve">#34d399</t>
  </si>
  <si>
    <t xml:space="preserve">#15803d</t>
  </si>
  <si>
    <t xml:space="preserve">Botões sucesso</t>
  </si>
  <si>
    <t xml:space="preserve">Bootstrap #198754</t>
  </si>
  <si>
    <t xml:space="preserve">--btn-danger</t>
  </si>
  <si>
    <t xml:space="preserve">#f87171</t>
  </si>
  <si>
    <t xml:space="preserve">#b91c1c</t>
  </si>
  <si>
    <t xml:space="preserve">Botões perigo</t>
  </si>
  <si>
    <t xml:space="preserve">#dc3545</t>
  </si>
  <si>
    <t xml:space="preserve">Cores fixas do statusOPT (não mudam com o tema)</t>
  </si>
  <si>
    <t xml:space="preserve">Cor</t>
  </si>
  <si>
    <t xml:space="preserve">Hex</t>
  </si>
  <si>
    <t xml:space="preserve">Amostra</t>
  </si>
  <si>
    <t xml:space="preserve">Contraste s/ cartão escuro</t>
  </si>
  <si>
    <t xml:space="preserve">Contraste s/ branco</t>
  </si>
  <si>
    <t xml:space="preserve">Significado / onde</t>
  </si>
  <si>
    <t xml:space="preserve">Nota</t>
  </si>
  <si>
    <t xml:space="preserve">Verde OK</t>
  </si>
  <si>
    <t xml:space="preserve">Valor dentro do objetivo, avanço, 0 erros; ponto "Qtd. Produzida"; série Produzida</t>
  </si>
  <si>
    <t xml:space="preserve">Laranja alerta</t>
  </si>
  <si>
    <t xml:space="preserve">#fb923c</t>
  </si>
  <si>
    <t xml:space="preserve">Zona de atenção (80–90%), atraso &lt; 8h, backlog, dados a envelhecer</t>
  </si>
  <si>
    <t xml:space="preserve">Laranja % CC &gt; 8h</t>
  </si>
  <si>
    <t xml:space="preserve">#fd7e14</t>
  </si>
  <si>
    <t xml:space="preserve">Banda intermédia só do cartão % CC em atraso &gt; 8H</t>
  </si>
  <si>
    <t xml:space="preserve">Inconsistência interna: os outros alertas usam #fb923c</t>
  </si>
  <si>
    <t xml:space="preserve">Vermelho crítico</t>
  </si>
  <si>
    <t xml:space="preserve">Fora do objetivo, atraso ≥ 8h, dados muito velhos</t>
  </si>
  <si>
    <t xml:space="preserve">Azul "planeado"</t>
  </si>
  <si>
    <t xml:space="preserve">#38bdf8</t>
  </si>
  <si>
    <t xml:space="preserve">Ponto da Qtd. Planeada no cartão duplo</t>
  </si>
  <si>
    <t xml:space="preserve">Ciano gráficos</t>
  </si>
  <si>
    <t xml:space="preserve">Barras por Área, série Planeada, Adiantado</t>
  </si>
  <si>
    <t xml:space="preserve">Violeta</t>
  </si>
  <si>
    <t xml:space="preserve">#a78bfa</t>
  </si>
  <si>
    <t xml:space="preserve">Barras Nº de produções</t>
  </si>
  <si>
    <t xml:space="preserve">Azul ensaio</t>
  </si>
  <si>
    <t xml:space="preserve">#8bb3f2</t>
  </si>
  <si>
    <t xml:space="preserve">Etiqueta/ícone de ensaio</t>
  </si>
  <si>
    <t xml:space="preserve">Vermelho risco</t>
  </si>
  <si>
    <t xml:space="preserve">#ef4444</t>
  </si>
  <si>
    <t xml:space="preserve">Borda do módulo Material em risco; Previsão TE &gt; 0</t>
  </si>
  <si>
    <t xml:space="preserve">Verde previsão</t>
  </si>
  <si>
    <t xml:space="preserve">#22c55e</t>
  </si>
  <si>
    <t xml:space="preserve">Previsão TE = 0</t>
  </si>
  <si>
    <t xml:space="preserve">MOD verde</t>
  </si>
  <si>
    <t xml:space="preserve">#059669</t>
  </si>
  <si>
    <t xml:space="preserve">Célula MOD OK</t>
  </si>
  <si>
    <t xml:space="preserve">MOD laranja</t>
  </si>
  <si>
    <t xml:space="preserve">#d97706</t>
  </si>
  <si>
    <t xml:space="preserve">Célula MOD com falta</t>
  </si>
  <si>
    <t xml:space="preserve">Contraste: razão WCAG 2.1 calculada a partir dos hex (texto normal precisa de ≥ 4,5:1; texto grande/negrito ≥ 3:1). Os verdes/laranjas fixos ficam abaixo de 3:1 sobre branco — ver folha "Regras de Cor", nota N1.</t>
  </si>
  <si>
    <t xml:space="preserve">Inventário de todas as cores escritas à mão no painel_trabalho_extra</t>
  </si>
  <si>
    <t xml:space="preserve">Contagem automática no ficheiro (CSS + HTML + JS). Cada cor tem o equivalente statusOPT que a deve substituir.</t>
  </si>
  <si>
    <t xml:space="preserve">Cor no painel</t>
  </si>
  <si>
    <t xml:space="preserve">Amostra atual</t>
  </si>
  <si>
    <t xml:space="preserve">Ocorrências</t>
  </si>
  <si>
    <t xml:space="preserve">Onde é usada / significado</t>
  </si>
  <si>
    <t xml:space="preserve">Substituir por (statusOPT)</t>
  </si>
  <si>
    <t xml:space="preserve">Prioridade</t>
  </si>
  <si>
    <t xml:space="preserve">Estado</t>
  </si>
  <si>
    <t xml:space="preserve">#005a9e</t>
  </si>
  <si>
    <t xml:space="preserve">Primária: barra do cabeçalho, acordeão, títulos ativos, barras por Área, linhas dos gráficos, borda Peças Planeadas</t>
  </si>
  <si>
    <t xml:space="preserve">Por fazer</t>
  </si>
  <si>
    <t xml:space="preserve">#10b981</t>
  </si>
  <si>
    <t xml:space="preserve">Cor do C.C.: barras por C.C., borda Peças Produzidas, --sp-success</t>
  </si>
  <si>
    <t xml:space="preserve">#34d399 (verde OK / série C.C.)</t>
  </si>
  <si>
    <t xml:space="preserve">#f4f6f9</t>
  </si>
  <si>
    <t xml:space="preserve">Fundo da página (--sp-bg)</t>
  </si>
  <si>
    <t xml:space="preserve">var(--sp-bg)</t>
  </si>
  <si>
    <t xml:space="preserve">Fundo de cabeçalho, cartões, gráficos, tabelas, dropdowns (white / #fff)</t>
  </si>
  <si>
    <t xml:space="preserve">var(--bg-card)</t>
  </si>
  <si>
    <t xml:space="preserve">#333</t>
  </si>
  <si>
    <t xml:space="preserve">Texto do body</t>
  </si>
  <si>
    <t xml:space="preserve">var(--text-main)</t>
  </si>
  <si>
    <t xml:space="preserve">Texto do cabeçalho e acordeão; rótulos de dados dos gráficos</t>
  </si>
  <si>
    <t xml:space="preserve">var(--text-strong) / var(--chart-text-strong)</t>
  </si>
  <si>
    <t xml:space="preserve">Títulos de KPI (.kpi-title), neutro dos gráficos e botões Semana/Mês</t>
  </si>
  <si>
    <t xml:space="preserve">var(--text-muted)</t>
  </si>
  <si>
    <t xml:space="preserve">Texto das etiquetas de secção (.section-tag)</t>
  </si>
  <si>
    <t xml:space="preserve">var(--text-label)</t>
  </si>
  <si>
    <t xml:space="preserve">Bordas do cabeçalho; fundo das etiquetas de secção</t>
  </si>
  <si>
    <t xml:space="preserve">var(--border-color)</t>
  </si>
  <si>
    <t xml:space="preserve">Borda superior dos cartões de gráfico</t>
  </si>
  <si>
    <t xml:space="preserve">#ced4da</t>
  </si>
  <si>
    <t xml:space="preserve">Bordas dos filtros multiselect</t>
  </si>
  <si>
    <t xml:space="preserve">#eef5fc</t>
  </si>
  <si>
    <t xml:space="preserve">Botão do acordeão aberto</t>
  </si>
  <si>
    <t xml:space="preserve">Corpo do acordeão</t>
  </si>
  <si>
    <t xml:space="preserve">#495057</t>
  </si>
  <si>
    <t xml:space="preserve">Separadores (nav-tabs) inativos</t>
  </si>
  <si>
    <t xml:space="preserve">#dee2e6</t>
  </si>
  <si>
    <t xml:space="preserve">Borda dos separadores ativos</t>
  </si>
  <si>
    <t xml:space="preserve">#198754</t>
  </si>
  <si>
    <t xml:space="preserve">Semáforo verde: borda de cartão (Adesão, Cobertura, Δ = 0, Logística/Produção ≥ 90%)</t>
  </si>
  <si>
    <t xml:space="preserve">#34d399 no valor (cartão neutro)</t>
  </si>
  <si>
    <t xml:space="preserve">#d1e7dd</t>
  </si>
  <si>
    <t xml:space="preserve">Semáforo verde: fundo do cartão</t>
  </si>
  <si>
    <t xml:space="preserve">remover (cartão fica var(--bg-card))</t>
  </si>
  <si>
    <t xml:space="preserve">#0f5132</t>
  </si>
  <si>
    <t xml:space="preserve">Semáforo verde: texto do valor</t>
  </si>
  <si>
    <t xml:space="preserve">#ffc107</t>
  </si>
  <si>
    <t xml:space="preserve">Semáforo amarelo: borda (80–90% e &gt; 101%); borda Turnos Garantidos Feriado</t>
  </si>
  <si>
    <t xml:space="preserve">#fb923c no valor</t>
  </si>
  <si>
    <t xml:space="preserve">#fff3cd</t>
  </si>
  <si>
    <t xml:space="preserve">Semáforo amarelo: fundo do cartão</t>
  </si>
  <si>
    <t xml:space="preserve">remover (cartão neutro)</t>
  </si>
  <si>
    <t xml:space="preserve">#856404</t>
  </si>
  <si>
    <t xml:space="preserve">Semáforo amarelo: texto do valor</t>
  </si>
  <si>
    <t xml:space="preserve">Semáforo vermelho: borda; borda superior "danger"; linha Evolução Cobertura; botões Semana/Mês</t>
  </si>
  <si>
    <t xml:space="preserve">#f87171 no valor / var(--btn-danger) nos botões</t>
  </si>
  <si>
    <t xml:space="preserve">#f8d7da</t>
  </si>
  <si>
    <t xml:space="preserve">Semáforo vermelho: fundo do cartão</t>
  </si>
  <si>
    <t xml:space="preserve">#842029</t>
  </si>
  <si>
    <t xml:space="preserve">Semáforo vermelho: texto do valor e título do Δ Turnos</t>
  </si>
  <si>
    <t xml:space="preserve">#0d6efd</t>
  </si>
  <si>
    <t xml:space="preserve">Δ Turnos positivo: borda</t>
  </si>
  <si>
    <t xml:space="preserve">ver Regras de Cor R3 (decisão)</t>
  </si>
  <si>
    <t xml:space="preserve">#cfe2ff</t>
  </si>
  <si>
    <t xml:space="preserve">Δ Turnos positivo: fundo</t>
  </si>
  <si>
    <t xml:space="preserve">#084298</t>
  </si>
  <si>
    <t xml:space="preserve">Δ Turnos positivo: texto</t>
  </si>
  <si>
    <t xml:space="preserve">#0dcaf0</t>
  </si>
  <si>
    <t xml:space="preserve">Identidade "Logística": borda e valor do cartão sem dados</t>
  </si>
  <si>
    <t xml:space="preserve">var(--text-muted) quando sem dados</t>
  </si>
  <si>
    <t xml:space="preserve">Identidade "Produção": borda e valor sem dados; Nº Operadores Produção; série Produção</t>
  </si>
  <si>
    <t xml:space="preserve">#fb923c (série Produção) / var(--text-muted) sem dados</t>
  </si>
  <si>
    <t xml:space="preserve">#0284c7</t>
  </si>
  <si>
    <t xml:space="preserve">Identidade "Logística": Nº Operadores Logística, série Logística</t>
  </si>
  <si>
    <t xml:space="preserve">#22d3ee (série Logística)</t>
  </si>
  <si>
    <t xml:space="preserve">#64b5f6</t>
  </si>
  <si>
    <t xml:space="preserve">Sub-barra ∑ Turnos Solicitados; série Turnos Solic.</t>
  </si>
  <si>
    <t xml:space="preserve">ponto #38bdf8 (KPI) / #22d3ee (gráfico)</t>
  </si>
  <si>
    <t xml:space="preserve">#81c784</t>
  </si>
  <si>
    <t xml:space="preserve">Sub-barra Turnos Solicitados Fim de Semana</t>
  </si>
  <si>
    <t xml:space="preserve">ponto #38bdf8 (mesmo papel que Solicitados)</t>
  </si>
  <si>
    <t xml:space="preserve">#ffe082</t>
  </si>
  <si>
    <t xml:space="preserve">Sub-barra Turnos Solicitados Feriado</t>
  </si>
  <si>
    <t xml:space="preserve">ponto #38bdf8</t>
  </si>
  <si>
    <t xml:space="preserve">#003d6b</t>
  </si>
  <si>
    <t xml:space="preserve">Barra da Área selecionada nos gráficos</t>
  </si>
  <si>
    <t xml:space="preserve">#22d3ee cheio; restantes rgba(34,211,238,.35)</t>
  </si>
  <si>
    <t xml:space="preserve">#f59e0b</t>
  </si>
  <si>
    <t xml:space="preserve">Paleta do donut Motivos (3.ª cor)</t>
  </si>
  <si>
    <t xml:space="preserve">paleta de 12 cores do statusOPT (folha Gráficos)</t>
  </si>
  <si>
    <t xml:space="preserve">#8b5cf6</t>
  </si>
  <si>
    <t xml:space="preserve">Paleta do donut Motivos</t>
  </si>
  <si>
    <t xml:space="preserve">paleta statusOPT</t>
  </si>
  <si>
    <t xml:space="preserve">#ec4899</t>
  </si>
  <si>
    <t xml:space="preserve">#f472b6</t>
  </si>
  <si>
    <t xml:space="preserve">#fff (rótulos)</t>
  </si>
  <si>
    <t xml:space="preserve">Rótulos de dados do donut Motivos (color: '#fff' no JS)</t>
  </si>
  <si>
    <t xml:space="preserve">#0f172a (como no statusOPT)</t>
  </si>
  <si>
    <t xml:space="preserve">rgba(0, 90, 158, 0.1)</t>
  </si>
  <si>
    <t xml:space="preserve">Preenchimento das linhas de evolução</t>
  </si>
  <si>
    <t xml:space="preserve">rgba(34,211,238,0.15)</t>
  </si>
  <si>
    <t xml:space="preserve">rgba .15</t>
  </si>
  <si>
    <t xml:space="preserve">rgba(100, 181, 246, 0.1)</t>
  </si>
  <si>
    <t xml:space="preserve">Preenchimento da série Turnos Solic.</t>
  </si>
  <si>
    <t xml:space="preserve">rgba(220, 53, 69, 0.1)</t>
  </si>
  <si>
    <t xml:space="preserve">Preenchimento da linha % Cobertura</t>
  </si>
  <si>
    <t xml:space="preserve">rgba(0, 0, 0, 0.06)</t>
  </si>
  <si>
    <t xml:space="preserve">var(--card-shadow)</t>
  </si>
  <si>
    <t xml:space="preserve">Cada indicador do painel: estilo atual → padrão statusOPT a aplicar</t>
  </si>
  <si>
    <t xml:space="preserve">Princípio do statusOPT: o cartão é sempre neutro (fundo do cartão + borda fina); a cor do semáforo vai SÓ no número. O painel faz o contrário (pinta fundo e barra lateral).</t>
  </si>
  <si>
    <t xml:space="preserve">ID</t>
  </si>
  <si>
    <t xml:space="preserve">Secção</t>
  </si>
  <si>
    <t xml:space="preserve">Indicador</t>
  </si>
  <si>
    <t xml:space="preserve">Elemento (id)</t>
  </si>
  <si>
    <t xml:space="preserve">Cartão atual</t>
  </si>
  <si>
    <t xml:space="preserve">Fundo atual</t>
  </si>
  <si>
    <t xml:space="preserve">Barra lateral atual</t>
  </si>
  <si>
    <t xml:space="preserve">Cor do valor atual</t>
  </si>
  <si>
    <t xml:space="preserve">Tamanho título / valor (atual)</t>
  </si>
  <si>
    <t xml:space="preserve">Regra de cor atual</t>
  </si>
  <si>
    <t xml:space="preserve">Equivalente no statusOPT</t>
  </si>
  <si>
    <t xml:space="preserve">Padrão statusOPT a aplicar</t>
  </si>
  <si>
    <t xml:space="preserve">Regra a aplicar</t>
  </si>
  <si>
    <t xml:space="preserve">Cor valor (escuro)</t>
  </si>
  <si>
    <t xml:space="preserve">Recomendação</t>
  </si>
  <si>
    <t xml:space="preserve">Esforço</t>
  </si>
  <si>
    <t xml:space="preserve">K01</t>
  </si>
  <si>
    <t xml:space="preserve">Métricas</t>
  </si>
  <si>
    <t xml:space="preserve">PRODUZIDO/PLANEADO (%)</t>
  </si>
  <si>
    <t xml:space="preserve">kpiAdesaoPct / kpiAdesaoCard</t>
  </si>
  <si>
    <t xml:space="preserve">.kpi-card.highlight-card</t>
  </si>
  <si>
    <t xml:space="preserve">8px #198754</t>
  </si>
  <si>
    <t xml:space="preserve">text-dark (fixo)</t>
  </si>
  <si>
    <t xml:space="preserve">0.8rem / 2.8rem</t>
  </si>
  <si>
    <t xml:space="preserve">&gt; 101% amarelo · ≥ 90% verde · ≥ 80% amarelo · &lt; 80% vermelho (pinta fundo + barra; o número fica preto)</t>
  </si>
  <si>
    <t xml:space="preserve">Qtd. PRODUZIDO/PLANEADO (%) — cartão 4 do Dashboard; PRODUZIDO/PLANEADO no Histórico</t>
  </si>
  <si>
    <t xml:space="preserve">.opt-summary-card.opt-summary-card-main (borda ciano + brilho; título ciano; valor 2.1rem 800)</t>
  </si>
  <si>
    <t xml:space="preserve">R1 Cumprimento: 90–110% verde · 80–90% laranja · &lt; 80% ou ≥ 110% vermelho; sem plano → var(--text-muted)</t>
  </si>
  <si>
    <t xml:space="preserve">Tornar o cartão principal (opt-summary-card-main), neutro; aplicar getCumprimentoColor() só ao número. Acima de 101% passa de amarelo a verde até 110% e vermelho daí para cima.</t>
  </si>
  <si>
    <t xml:space="preserve">S</t>
  </si>
  <si>
    <t xml:space="preserve">K02</t>
  </si>
  <si>
    <t xml:space="preserve">PEÇAS PLANEADAS</t>
  </si>
  <si>
    <t xml:space="preserve">kpiQtdPlaneada</t>
  </si>
  <si>
    <t xml:space="preserve">.kpi-card</t>
  </si>
  <si>
    <t xml:space="preserve">5px #005a9e</t>
  </si>
  <si>
    <t xml:space="preserve">text-dark</t>
  </si>
  <si>
    <t xml:space="preserve">0.65rem / 1.8rem</t>
  </si>
  <si>
    <t xml:space="preserve">Sem regra</t>
  </si>
  <si>
    <t xml:space="preserve">Qtd. Planeada no cartão duplo do Histórico (ponto azul)</t>
  </si>
  <si>
    <t xml:space="preserve">.opt-kpi-dual dentro de .opt-summary-card: 2 linhas rótulo 0.78rem 700 maiúsculas + valor 1.35rem 800 var(--text-strong); ponto .opt-kpi-dot</t>
  </si>
  <si>
    <t xml:space="preserve">Sem regra; ponto .opt-kpi-dot-plan #38bdf8</t>
  </si>
  <si>
    <t xml:space="preserve">var(--text-strong)</t>
  </si>
  <si>
    <t xml:space="preserve">Juntar K02 e K03 num só cartão duplo (Produzida em cima com ponto verde, Planeada em baixo com ponto azul) — igual ao Histórico. Elimina as barras laterais azul/verde.</t>
  </si>
  <si>
    <t xml:space="preserve">M</t>
  </si>
  <si>
    <t xml:space="preserve">K03</t>
  </si>
  <si>
    <t xml:space="preserve">PEÇAS PRODUZIDAS</t>
  </si>
  <si>
    <t xml:space="preserve">kpiQtdProduzida</t>
  </si>
  <si>
    <t xml:space="preserve">5px #10b981</t>
  </si>
  <si>
    <t xml:space="preserve">Qtd. Produzida no cartão duplo do Histórico (ponto verde)</t>
  </si>
  <si>
    <t xml:space="preserve">Sem regra; ponto .opt-kpi-dot-prod #34d399</t>
  </si>
  <si>
    <t xml:space="preserve">Ver K02.</t>
  </si>
  <si>
    <t xml:space="preserve">K04</t>
  </si>
  <si>
    <t xml:space="preserve">Métricas · Cumprimento de Prazos</t>
  </si>
  <si>
    <t xml:space="preserve">LOGÍSTICA (Quarta 12h00)</t>
  </si>
  <si>
    <t xml:space="preserve">kpiLogisticaPct / kpiStandardLogisticaCard</t>
  </si>
  <si>
    <t xml:space="preserve">.kpi-card (horizontal)</t>
  </si>
  <si>
    <t xml:space="preserve">#fff → semáforo</t>
  </si>
  <si>
    <t xml:space="preserve">5px #0dcaf0 → semáforo</t>
  </si>
  <si>
    <t xml:space="preserve">#0dcaf0 → #0f5132 / #856404 / #842029</t>
  </si>
  <si>
    <t xml:space="preserve">Sem dados: ciano · &gt; 101% amarelo · ≥ 90% verde · ≥ 80% amarelo · &lt; 80% vermelho (fundo + barra + número)</t>
  </si>
  <si>
    <t xml:space="preserve">% Produzido no Prazo (Histórico) — conceito de pontualidade</t>
  </si>
  <si>
    <t xml:space="preserve">.opt-summary-card (fundo var(--bg-card), borda 1px var(--border-color), raio 8px, centrado); título .title 0.82rem 700 var(--text-label) maiúsculas; valor .value 1.7rem 800; texto "N de M (QUARTA 12H00)" em 0.72rem var(--text-muted) por baixo do valor</t>
  </si>
  <si>
    <t xml:space="preserve">R2 Pontualidade de comunicação: ≥ 90% verde · 80–90% laranja · &lt; 80% vermelho; sem registos → var(--text-muted)</t>
  </si>
  <si>
    <t xml:space="preserve">Cartão neutro, cor só no número. NÃO copiar getPontualidadeColor (põe 100% a vermelho, só faz sentido no statusOPT). Banda "&gt; 101%" desaparece (uma % de cumprimento nunca passa de 100).</t>
  </si>
  <si>
    <t xml:space="preserve">K05</t>
  </si>
  <si>
    <t xml:space="preserve">PRODUÇÃO (Quinta 14h30)</t>
  </si>
  <si>
    <t xml:space="preserve">kpiProducaoPct / kpiStandardProducaoCard</t>
  </si>
  <si>
    <t xml:space="preserve">5px #fd7e14 → semáforo</t>
  </si>
  <si>
    <t xml:space="preserve">#fd7e14 → #0f5132 / #856404 / #842029</t>
  </si>
  <si>
    <t xml:space="preserve">Igual a K04 (sem dados: laranja)</t>
  </si>
  <si>
    <t xml:space="preserve">% Produzido no Prazo (Histórico)</t>
  </si>
  <si>
    <t xml:space="preserve">.opt-summary-card (fundo var(--bg-card), borda 1px var(--border-color), raio 8px, centrado); título .title 0.82rem 700 var(--text-label) maiúsculas; valor .value 1.7rem 800</t>
  </si>
  <si>
    <t xml:space="preserve">R2 (igual a K04)</t>
  </si>
  <si>
    <t xml:space="preserve">Igual a K04. O laranja "sem dados" engana: parece alerta quando só não há registos.</t>
  </si>
  <si>
    <t xml:space="preserve">K06</t>
  </si>
  <si>
    <t xml:space="preserve">Métricas · Operadores</t>
  </si>
  <si>
    <t xml:space="preserve">Nº OPERADORES LOGÍSTICA</t>
  </si>
  <si>
    <t xml:space="preserve">kpiOperadoresLogistica</t>
  </si>
  <si>
    <t xml:space="preserve">5px #0284c7</t>
  </si>
  <si>
    <t xml:space="preserve">Contagens neutras (ex.: Ensaios no cabeçalho)</t>
  </si>
  <si>
    <t xml:space="preserve">Juntar K06 e K07 num cartão duplo "Operadores" (Logística / Produção), valores em var(--text-strong), sem barras laterais.</t>
  </si>
  <si>
    <t xml:space="preserve">K07</t>
  </si>
  <si>
    <t xml:space="preserve">Nº OPERADORES PRODUÇÃO</t>
  </si>
  <si>
    <t xml:space="preserve">kpiOperadoresProducao</t>
  </si>
  <si>
    <t xml:space="preserve">5px #fd7e14</t>
  </si>
  <si>
    <t xml:space="preserve">Contagens neutras</t>
  </si>
  <si>
    <t xml:space="preserve">Ver K06.</t>
  </si>
  <si>
    <t xml:space="preserve">K08</t>
  </si>
  <si>
    <t xml:space="preserve">Análise de Turnos</t>
  </si>
  <si>
    <t xml:space="preserve">COBERTURA DE TURNOS SOLICITADOS (%)</t>
  </si>
  <si>
    <t xml:space="preserve">kpiNecPreenchidosPct / kpiNecPreenchidosCard</t>
  </si>
  <si>
    <t xml:space="preserve">#f8d7da → semáforo</t>
  </si>
  <si>
    <t xml:space="preserve">#dc3545 → semáforo</t>
  </si>
  <si>
    <t xml:space="preserve">0.65rem / 2.2rem</t>
  </si>
  <si>
    <t xml:space="preserve">Igual a K01 (fundo + barra)</t>
  </si>
  <si>
    <t xml:space="preserve">Qtd. PRODUZIDO/PLANEADO (%) — mesmo conceito (obtido ÷ pedido)</t>
  </si>
  <si>
    <t xml:space="preserve">R1 Cumprimento</t>
  </si>
  <si>
    <t xml:space="preserve">Cartão principal da linha de turnos, neutro, número colorido por getCumprimentoColor().</t>
  </si>
  <si>
    <t xml:space="preserve">K09</t>
  </si>
  <si>
    <t xml:space="preserve">∑ TURNOS SOLICITADOS</t>
  </si>
  <si>
    <t xml:space="preserve">kpiTurnosNec</t>
  </si>
  <si>
    <t xml:space="preserve">sub-bloco em .kpi-card</t>
  </si>
  <si>
    <t xml:space="preserve">3px #64b5f6</t>
  </si>
  <si>
    <t xml:space="preserve">0.6rem / 1.5rem</t>
  </si>
  <si>
    <t xml:space="preserve">Qtd. Planeada (cartão duplo) — "o que foi pedido"</t>
  </si>
  <si>
    <t xml:space="preserve">Ponto azul #38bdf8 (= planeado/pedido)</t>
  </si>
  <si>
    <t xml:space="preserve">Cartão duplo: Garantidos (ponto verde) em cima, Solicitados (ponto azul) em baixo — mesma ordem e cores do Histórico.</t>
  </si>
  <si>
    <t xml:space="preserve">K10</t>
  </si>
  <si>
    <t xml:space="preserve">∑ TURNOS GARANTIDOS</t>
  </si>
  <si>
    <t xml:space="preserve">kpiTotalPreenchidos</t>
  </si>
  <si>
    <t xml:space="preserve">3px #005a9e</t>
  </si>
  <si>
    <t xml:space="preserve">Qtd. Produzida (cartão duplo) — "o que foi conseguido"</t>
  </si>
  <si>
    <t xml:space="preserve">Ponto verde #34d399</t>
  </si>
  <si>
    <t xml:space="preserve">Ver K09.</t>
  </si>
  <si>
    <t xml:space="preserve">K11</t>
  </si>
  <si>
    <t xml:space="preserve">TURNOS SOLICITADOS FIM DE SEMANA</t>
  </si>
  <si>
    <t xml:space="preserve">kpiFimSemana</t>
  </si>
  <si>
    <t xml:space="preserve">3px #81c784</t>
  </si>
  <si>
    <t xml:space="preserve">Qtd. Planeada (cartão duplo)</t>
  </si>
  <si>
    <t xml:space="preserve">Ponto azul #38bdf8</t>
  </si>
  <si>
    <t xml:space="preserve">Hoje cada par tem a sua cor (azul/verde/amarelo) sem significado de estado. Uniformizar: o papel (solicitado/garantido) define a cor, não a categoria.</t>
  </si>
  <si>
    <t xml:space="preserve">K12</t>
  </si>
  <si>
    <t xml:space="preserve">TURNOS GARANTIDOS FIM DE SEMANA</t>
  </si>
  <si>
    <t xml:space="preserve">kpiPreenchidosFimSemana</t>
  </si>
  <si>
    <t xml:space="preserve">3px #198754</t>
  </si>
  <si>
    <t xml:space="preserve">Qtd. Produzida (cartão duplo)</t>
  </si>
  <si>
    <t xml:space="preserve">Ver K11.</t>
  </si>
  <si>
    <t xml:space="preserve">K13</t>
  </si>
  <si>
    <t xml:space="preserve">TURNOS SOLICITADOS FERIADO</t>
  </si>
  <si>
    <t xml:space="preserve">kpiFeriado</t>
  </si>
  <si>
    <t xml:space="preserve">3px #ffe082</t>
  </si>
  <si>
    <t xml:space="preserve">Ver K11. O amarelo #ffe082/#ffc107 é lido como "alerta" — retirar.</t>
  </si>
  <si>
    <t xml:space="preserve">K14</t>
  </si>
  <si>
    <t xml:space="preserve">TURNOS GARANTIDOS FERIADO</t>
  </si>
  <si>
    <t xml:space="preserve">kpiPreenchidosFeriado</t>
  </si>
  <si>
    <t xml:space="preserve">3px #ffc107</t>
  </si>
  <si>
    <t xml:space="preserve">K15</t>
  </si>
  <si>
    <t xml:space="preserve">Δ TURNOS</t>
  </si>
  <si>
    <t xml:space="preserve">kpiDeltaTurnos / kpiDeltaCard</t>
  </si>
  <si>
    <t xml:space="preserve">#f8d7da / #cfe2ff / #d1e7dd</t>
  </si>
  <si>
    <t xml:space="preserve">5px #dc3545 / #0d6efd / #198754</t>
  </si>
  <si>
    <t xml:space="preserve">#842029 / #084298 / #0f5132</t>
  </si>
  <si>
    <t xml:space="preserve">0.85rem / 2.2rem</t>
  </si>
  <si>
    <t xml:space="preserve">&lt; 0 vermelho · &gt; 0 azul · = 0 verde (fundo + barra + número; título também #842029 fixo)</t>
  </si>
  <si>
    <t xml:space="preserve">TOTAL EM ATRASO / desvio do CC (getDelayCardConfig)</t>
  </si>
  <si>
    <t xml:space="preserve">.opt-summary-card (fundo var(--bg-card), borda 1px var(--border-color), raio 8px, centrado); título .title 0.82rem 700 var(--text-label) maiúsculas; valor .value 1.7rem 800 + ícone 0.9rem à direita do número</t>
  </si>
  <si>
    <t xml:space="preserve">R3 Desvio: ≥ 0 verde + fa-circle-plus (0 → fa-circle-check) · atraso leve laranja + fa-triangle-exclamation · atraso grave vermelho + fa-circle-minus</t>
  </si>
  <si>
    <t xml:space="preserve">Cartão neutro, título var(--text-label) (hoje fica vermelho fixo mesmo quando o delta é bom). Adotar os ícones do statusOPT. Limiar laranja/vermelho a decidir (ver R3).</t>
  </si>
  <si>
    <t xml:space="preserve">K16</t>
  </si>
  <si>
    <t xml:space="preserve">Tabela Registos</t>
  </si>
  <si>
    <t xml:space="preserve">DIF (Garantidos − Necessários)</t>
  </si>
  <si>
    <t xml:space="preserve">#tableRegistos td</t>
  </si>
  <si>
    <t xml:space="preserve">célula</t>
  </si>
  <si>
    <t xml:space="preserve">text-danger / text-primary / text-success + fw-bold</t>
  </si>
  <si>
    <t xml:space="preserve">&lt; 0 vermelho · &gt; 0 azul · = 0 verde</t>
  </si>
  <si>
    <t xml:space="preserve">Coluna Contributo do popup de avanço/atraso</t>
  </si>
  <si>
    <t xml:space="preserve">Texto 700 com cor de semáforo</t>
  </si>
  <si>
    <t xml:space="preserve">R3 (mesma regra do K15)</t>
  </si>
  <si>
    <t xml:space="preserve">Usar as mesmas cores de K15 em linha (style="color:…"). Atenção: no statusOPT .text-danger não está redefinido (fica #dc3545 do Bootstrap).</t>
  </si>
  <si>
    <t xml:space="preserve">K17</t>
  </si>
  <si>
    <t xml:space="preserve">Operadores por turno (N/M/T Sáb, Dom, Fer)</t>
  </si>
  <si>
    <t xml:space="preserve">badge</t>
  </si>
  <si>
    <t xml:space="preserve">bg-info (#0dcaf0)</t>
  </si>
  <si>
    <t xml:space="preserve">&gt; 0 badge "N OPS"; 0 → "-" muted</t>
  </si>
  <si>
    <t xml:space="preserve">Etiqueta "Manual" do risco (badge bg-info text-dark) / .opt-badge-ensaio</t>
  </si>
  <si>
    <t xml:space="preserve">Etiqueta translúcida estilo .opt-badge-ensaio (fundo rgba 18%, borda 45%, texto da cor, 0.68rem 700 maiúsculas)</t>
  </si>
  <si>
    <t xml:space="preserve">Opcional: trocar o badge cheio por etiqueta translúcida ciano — lê-se melhor em tema escuro. Manter bg-info já é coerente com o statusOPT.</t>
  </si>
  <si>
    <t xml:space="preserve">K18</t>
  </si>
  <si>
    <t xml:space="preserve">Tabela Plano</t>
  </si>
  <si>
    <t xml:space="preserve">Produzido/Planeado (%) por linha</t>
  </si>
  <si>
    <t xml:space="preserve">#tablePlano td</t>
  </si>
  <si>
    <t xml:space="preserve">bg-success / bg-warning / bg-danger</t>
  </si>
  <si>
    <t xml:space="preserve">branco / text-dark</t>
  </si>
  <si>
    <t xml:space="preserve">&gt; 101% amarelo · ≥ 90% verde · ≥ 80% amarelo · &lt; 80% vermelho</t>
  </si>
  <si>
    <t xml:space="preserve">getCumprimentoBadgeClass() nos popups</t>
  </si>
  <si>
    <t xml:space="preserve">badge Bootstrap</t>
  </si>
  <si>
    <t xml:space="preserve">R1 Cumprimento em versão badge: bg-success 90–110 · bg-warning text-dark 80–90 · bg-danger resto</t>
  </si>
  <si>
    <t xml:space="preserve">Trocar a função de classe pela getCumprimentoBadgeClass() do statusOPT — mesmo limiar que K01.</t>
  </si>
  <si>
    <t xml:space="preserve">Esforço: S = minutos (trocar classes/cores) · M = mexer no HTML do cartão · L = reescrita de componente.</t>
  </si>
  <si>
    <t xml:space="preserve">Referência: como o statusOPT pinta cada um dos seus indicadores</t>
  </si>
  <si>
    <t xml:space="preserve">Levantamento do ficheiro de referência, para consulta ao adaptar o painel.</t>
  </si>
  <si>
    <t xml:space="preserve">Vista</t>
  </si>
  <si>
    <t xml:space="preserve">Componente</t>
  </si>
  <si>
    <t xml:space="preserve">Cor do valor</t>
  </si>
  <si>
    <t xml:space="preserve">Amostra (escuro)</t>
  </si>
  <si>
    <t xml:space="preserve">Regra</t>
  </si>
  <si>
    <t xml:space="preserve">Ícone</t>
  </si>
  <si>
    <t xml:space="preserve">Dashboard</t>
  </si>
  <si>
    <t xml:space="preserve">ÁREA</t>
  </si>
  <si>
    <t xml:space="preserve">opt-areaButtons</t>
  </si>
  <si>
    <t xml:space="preserve">.opt-summary-card + .opt-area-btn</t>
  </si>
  <si>
    <t xml:space="preserve">Botão contorno ciano 1.05rem 800; ativo = fundo ciano, texto var(--on-accent)</t>
  </si>
  <si>
    <t xml:space="preserve">TOTAL EM ATRASO [ÁREA]</t>
  </si>
  <si>
    <t xml:space="preserve">opt-kpiTotalDelta</t>
  </si>
  <si>
    <t xml:space="preserve">.opt-summary-card</t>
  </si>
  <si>
    <t xml:space="preserve">#34d399 / #fb923c / #f87171</t>
  </si>
  <si>
    <t xml:space="preserve">Soma só atrasos: 0 → verde · &gt; −8h laranja · ≤ −8h vermelho</t>
  </si>
  <si>
    <t xml:space="preserve">fa-circle-check / fa-triangle-exclamation / fa-circle-minus</t>
  </si>
  <si>
    <t xml:space="preserve">% CC em atraso &gt; 8H</t>
  </si>
  <si>
    <t xml:space="preserve">opt-kpiCcAtraso8h</t>
  </si>
  <si>
    <t xml:space="preserve">.opt-summary-card.clickable</t>
  </si>
  <si>
    <t xml:space="preserve">#34d399 / #fd7e14 / #f87171</t>
  </si>
  <si>
    <t xml:space="preserve">0% verde · &gt; 0% laranja · ≥ 80% vermelho (quanto maior, pior)</t>
  </si>
  <si>
    <t xml:space="preserve">Usa #fd7e14 em vez do laranja comum #fb923c</t>
  </si>
  <si>
    <t xml:space="preserve">Qtd. PRODUZIDO/PLANEADO (%)</t>
  </si>
  <si>
    <t xml:space="preserve">opt-kpiQtdRatio</t>
  </si>
  <si>
    <t xml:space="preserve">getCumprimentoColor</t>
  </si>
  <si>
    <t xml:space="preserve">90–110% verde · 80–90% laranja · resto vermelho · sem plano var(--text-muted)</t>
  </si>
  <si>
    <t xml:space="preserve">Disponibilidade MP</t>
  </si>
  <si>
    <t xml:space="preserve">opt-kpiDispMP</t>
  </si>
  <si>
    <t xml:space="preserve">getKpiColor</t>
  </si>
  <si>
    <t xml:space="preserve">&lt; 50% vermelho · &lt; 80% laranja · ≥ 80% verde</t>
  </si>
  <si>
    <t xml:space="preserve">Disponibilidade FRT</t>
  </si>
  <si>
    <t xml:space="preserve">opt-kpiDispFRT</t>
  </si>
  <si>
    <t xml:space="preserve">Igual a MP</t>
  </si>
  <si>
    <t xml:space="preserve">Desvio do CC (avanço/atraso)</t>
  </si>
  <si>
    <t xml:space="preserve">.opt-cc-stat-destaque</t>
  </si>
  <si>
    <t xml:space="preserve">.opt-cc-stat (0.66rem rótulo / 1.1rem valor)</t>
  </si>
  <si>
    <t xml:space="preserve">getDelayCardConfig</t>
  </si>
  <si>
    <t xml:space="preserve">≥ 0 verde · &gt; −8h laranja · ≤ −8h vermelho</t>
  </si>
  <si>
    <t xml:space="preserve">fa-circle-plus / fa-triangle-exclamation / fa-circle-minus</t>
  </si>
  <si>
    <t xml:space="preserve">Fundo var(--bg-subtle), hover borda ciano</t>
  </si>
  <si>
    <t xml:space="preserve">Backlog do CC</t>
  </si>
  <si>
    <t xml:space="preserve">.opt-cc-backlog</t>
  </si>
  <si>
    <t xml:space="preserve">Faixa: fundo rgba(251,146,60,.1), borda esq. 3px #fb923c</t>
  </si>
  <si>
    <t xml:space="preserve">Sempre laranja (é trabalho em falta)</t>
  </si>
  <si>
    <t xml:space="preserve">fa-layer-group</t>
  </si>
  <si>
    <t xml:space="preserve">Cabeçalho</t>
  </si>
  <si>
    <t xml:space="preserve">Atualizado a</t>
  </si>
  <si>
    <t xml:space="preserve">.opt-header-status</t>
  </si>
  <si>
    <t xml:space="preserve">Pílula var(--bg-inset) 0.85rem</t>
  </si>
  <si>
    <t xml:space="preserve">var(--text-muted) / #fb923c / #f87171</t>
  </si>
  <si>
    <t xml:space="preserve">&lt; 45 min neutro · ≥ 45 min laranja · ≥ 90 min vermelho</t>
  </si>
  <si>
    <t xml:space="preserve">fa-clock</t>
  </si>
  <si>
    <t xml:space="preserve">Recomendado também no painel</t>
  </si>
  <si>
    <t xml:space="preserve">Backlog / Ensaios</t>
  </si>
  <si>
    <t xml:space="preserve">opt-lblBacklog / opt-lblEnsaios</t>
  </si>
  <si>
    <t xml:space="preserve">.opt-header-status.opt-clickable-status</t>
  </si>
  <si>
    <t xml:space="preserve">#fb923c se houver / var(--text-strong)</t>
  </si>
  <si>
    <t xml:space="preserve">Com itens → laranja</t>
  </si>
  <si>
    <t xml:space="preserve">fa-layer-group / fa-flask</t>
  </si>
  <si>
    <t xml:space="preserve">Previsão de Trabalho Extra</t>
  </si>
  <si>
    <t xml:space="preserve">opt-tableTrabalhoExtra</t>
  </si>
  <si>
    <t xml:space="preserve">Tabela branca fixa, cabeçalho #0f172a</t>
  </si>
  <si>
    <t xml:space="preserve">#ef4444 / #22c55e</t>
  </si>
  <si>
    <t xml:space="preserve">Previsão &gt; 0 vermelho · 0 verde; restantes colunas #0f172a</t>
  </si>
  <si>
    <t xml:space="preserve">Não segue o tema (sempre branca)</t>
  </si>
  <si>
    <t xml:space="preserve">MOD Planeada</t>
  </si>
  <si>
    <t xml:space="preserve">opt-tableMOD</t>
  </si>
  <si>
    <t xml:space="preserve">.table-mod</t>
  </si>
  <si>
    <t xml:space="preserve">células #059669 / #d97706 / branco</t>
  </si>
  <si>
    <t xml:space="preserve">Verde OK · laranja falta · branco sem dados</t>
  </si>
  <si>
    <t xml:space="preserve">Material em risco</t>
  </si>
  <si>
    <t xml:space="preserve">opt-tableRisk</t>
  </si>
  <si>
    <t xml:space="preserve">.opt-risk-container borda 2px #ef4444</t>
  </si>
  <si>
    <t xml:space="preserve">#dc2626 / #d97706</t>
  </si>
  <si>
    <t xml:space="preserve">#dc2626</t>
  </si>
  <si>
    <t xml:space="preserve">.risk-badge-critical / .risk-badge-warning</t>
  </si>
  <si>
    <t xml:space="preserve">fa-triangle-exclamation</t>
  </si>
  <si>
    <t xml:space="preserve">Status (Planeado, Preparada, Em curso, Produzido, Interrompido)</t>
  </si>
  <si>
    <t xml:space="preserve">.badge.opt-badge-status</t>
  </si>
  <si>
    <t xml:space="preserve">#999999 · #f58231 · #ffe119 · #33cc00 · #ff0000</t>
  </si>
  <si>
    <t xml:space="preserve">#33cc00</t>
  </si>
  <si>
    <t xml:space="preserve">Cores da própria lista SharePoint</t>
  </si>
  <si>
    <t xml:space="preserve">Histórico</t>
  </si>
  <si>
    <t xml:space="preserve">PRODUZIDO/PLANEADO</t>
  </si>
  <si>
    <t xml:space="preserve">hist-kpiCumprimento</t>
  </si>
  <si>
    <t xml:space="preserve">.opt-summary-card-main.clickable</t>
  </si>
  <si>
    <t xml:space="preserve">fa-percent</t>
  </si>
  <si>
    <t xml:space="preserve">INCONSISTÊNCIA: o Dashboard usa getCumprimentoColor para o mesmo indicador (130% fica verde aqui e vermelho lá)</t>
  </si>
  <si>
    <t xml:space="preserve">Qtd. Produzida / Qtd. Planeada</t>
  </si>
  <si>
    <t xml:space="preserve">hist-kpiQtdProduzida / hist-kpiQtdPlaneada</t>
  </si>
  <si>
    <t xml:space="preserve">.opt-kpi-dual</t>
  </si>
  <si>
    <t xml:space="preserve">Neutro; pontos #34d399 (produzida) / #38bdf8 (planeada)</t>
  </si>
  <si>
    <t xml:space="preserve">fa-boxes-packing / fa-boxes-stacked</t>
  </si>
  <si>
    <t xml:space="preserve">Modelo para K02/K03, K06/K07, K09–K14</t>
  </si>
  <si>
    <t xml:space="preserve">% Produzido no Prazo</t>
  </si>
  <si>
    <t xml:space="preserve">hist-kpiPontualidade</t>
  </si>
  <si>
    <t xml:space="preserve">getPontualidadeColor</t>
  </si>
  <si>
    <t xml:space="preserve">90–100% verde · 80–90% laranja · &lt; 80% ou ≥ 100% vermelho</t>
  </si>
  <si>
    <t xml:space="preserve">fa-calendar-check</t>
  </si>
  <si>
    <t xml:space="preserve">Média Dias Atraso</t>
  </si>
  <si>
    <t xml:space="preserve">hist-kpiMediaAtraso</t>
  </si>
  <si>
    <t xml:space="preserve">getAtrasoColor</t>
  </si>
  <si>
    <t xml:space="preserve">≤ 0 d verde · ≤ 1 d laranja · &gt; 1 d vermelho</t>
  </si>
  <si>
    <t xml:space="preserve">Caixa de Erros</t>
  </si>
  <si>
    <t xml:space="preserve">hist-kpiProduzidoSemQtd</t>
  </si>
  <si>
    <t xml:space="preserve">#34d399 / #fb923c</t>
  </si>
  <si>
    <t xml:space="preserve">0 verde · &gt; 0 laranja</t>
  </si>
  <si>
    <t xml:space="preserve">Disponibilidade MP / FRT</t>
  </si>
  <si>
    <t xml:space="preserve">hist-kpiDispMPFRT</t>
  </si>
  <si>
    <t xml:space="preserve">.opt-summary-card.clickable (valor 1.15rem)</t>
  </si>
  <si>
    <t xml:space="preserve">Neutro</t>
  </si>
  <si>
    <t xml:space="preserve">fa-boxes-stacked</t>
  </si>
  <si>
    <t xml:space="preserve">Regras de semáforo: o que existe em cada ficheiro e o que adotar no painel</t>
  </si>
  <si>
    <t xml:space="preserve">Uma linha por banda. As amostras são as cores do statusOPT; os contrastes são calculados (WCAG 2.1) sobre o cartão escuro (#1e293b) e branco.</t>
  </si>
  <si>
    <t xml:space="preserve">Origem</t>
  </si>
  <si>
    <t xml:space="preserve">Aplica-se a</t>
  </si>
  <si>
    <t xml:space="preserve">Banda</t>
  </si>
  <si>
    <t xml:space="preserve">Condição</t>
  </si>
  <si>
    <t xml:space="preserve">Contraste escuro</t>
  </si>
  <si>
    <t xml:space="preserve">Contraste claro</t>
  </si>
  <si>
    <t xml:space="preserve">R1 Cumprimento (ADOTAR)</t>
  </si>
  <si>
    <t xml:space="preserve">statusOPT</t>
  </si>
  <si>
    <t xml:space="preserve">K01, K08, K18 — e linha % Cobertura nos pontos</t>
  </si>
  <si>
    <t xml:space="preserve">OK</t>
  </si>
  <si>
    <t xml:space="preserve">90% ≤ x &lt; 110%</t>
  </si>
  <si>
    <t xml:space="preserve">getCumprimentoColor() / getCumprimentoBadgeClass(). Excesso também é desvio ao plano.</t>
  </si>
  <si>
    <t xml:space="preserve">Atenção</t>
  </si>
  <si>
    <t xml:space="preserve">80% ≤ x &lt; 90%</t>
  </si>
  <si>
    <t xml:space="preserve">Fora</t>
  </si>
  <si>
    <t xml:space="preserve">x &lt; 80% ou x ≥ 110%</t>
  </si>
  <si>
    <t xml:space="preserve">Sem dados</t>
  </si>
  <si>
    <t xml:space="preserve">nada planeado</t>
  </si>
  <si>
    <t xml:space="preserve">R2 Pontualidade comunicação (PROPOSTA)</t>
  </si>
  <si>
    <t xml:space="preserve">Proposta</t>
  </si>
  <si>
    <t xml:space="preserve">K04, K05</t>
  </si>
  <si>
    <t xml:space="preserve">x ≥ 90%</t>
  </si>
  <si>
    <t xml:space="preserve">Mesmos limiares e cores do statusOPT, sem teto (100% é o ideal). Não existe função igual no statusOPT.</t>
  </si>
  <si>
    <t xml:space="preserve">x &lt; 80%</t>
  </si>
  <si>
    <t xml:space="preserve">0 registos</t>
  </si>
  <si>
    <t xml:space="preserve">R3 Desvio de turnos (DECIDIR)</t>
  </si>
  <si>
    <t xml:space="preserve">statusOPT adaptado</t>
  </si>
  <si>
    <t xml:space="preserve">K15, K16</t>
  </si>
  <si>
    <t xml:space="preserve">Avanço / igual</t>
  </si>
  <si>
    <t xml:space="preserve">Δ ≥ 0</t>
  </si>
  <si>
    <t xml:space="preserve">Copia getDelayCardConfig(). O statusOPT usa −8h; para turnos sugere-se −3 (≈ 1 dia a 3 turnos). Alternativa: manter 3 estados e pôr o excesso (Δ &gt; 0) a ciano #22d3ee em vez de verde.</t>
  </si>
  <si>
    <t xml:space="preserve">Atraso leve</t>
  </si>
  <si>
    <t xml:space="preserve">−3 &lt; Δ &lt; 0  (limiar a confirmar)</t>
  </si>
  <si>
    <t xml:space="preserve">Atraso grave</t>
  </si>
  <si>
    <t xml:space="preserve">Δ ≤ −3  (limiar a confirmar)</t>
  </si>
  <si>
    <t xml:space="preserve">Painel atual — Adesão / Cobertura</t>
  </si>
  <si>
    <t xml:space="preserve">Painel TE</t>
  </si>
  <si>
    <t xml:space="preserve">K01, K08, K18</t>
  </si>
  <si>
    <t xml:space="preserve">Excesso</t>
  </si>
  <si>
    <t xml:space="preserve">x &gt; 101%</t>
  </si>
  <si>
    <t xml:space="preserve">Pinta fundo + barra; o número fica preto. Amarelo usado para duas coisas diferentes.</t>
  </si>
  <si>
    <t xml:space="preserve">90% ≤ x ≤ 101%</t>
  </si>
  <si>
    <t xml:space="preserve">Painel atual — Logística / Produção</t>
  </si>
  <si>
    <t xml:space="preserve">A banda &gt; 101% nunca acontece (% de registos a horas). "Sem dados" tem cor de identidade, parece um valor.</t>
  </si>
  <si>
    <t xml:space="preserve">x ≥ 80%</t>
  </si>
  <si>
    <t xml:space="preserve">Painel atual — Δ Turnos</t>
  </si>
  <si>
    <t xml:space="preserve">Falta</t>
  </si>
  <si>
    <t xml:space="preserve">Δ &lt; 0</t>
  </si>
  <si>
    <t xml:space="preserve">Título do cartão fica sempre #842029, mesmo com Δ positivo.</t>
  </si>
  <si>
    <t xml:space="preserve">Δ &gt; 0</t>
  </si>
  <si>
    <t xml:space="preserve">Igual</t>
  </si>
  <si>
    <t xml:space="preserve">Δ = 0</t>
  </si>
  <si>
    <t xml:space="preserve">Disp. MP, Disp. FRT, Hist. PRODUZIDO/PLANEADO</t>
  </si>
  <si>
    <t xml:space="preserve">x &lt; 50%</t>
  </si>
  <si>
    <t xml:space="preserve">Referência.</t>
  </si>
  <si>
    <t xml:space="preserve">50% ≤ x &lt; 80%</t>
  </si>
  <si>
    <t xml:space="preserve">getAtraso8hColor</t>
  </si>
  <si>
    <t xml:space="preserve">x = 0%</t>
  </si>
  <si>
    <t xml:space="preserve">Indicador invertido (maior = pior).</t>
  </si>
  <si>
    <t xml:space="preserve">0% &lt; x &lt; 80%</t>
  </si>
  <si>
    <t xml:space="preserve">Hist. % Produzido no Prazo</t>
  </si>
  <si>
    <t xml:space="preserve">90% ≤ x &lt; 100%</t>
  </si>
  <si>
    <t xml:space="preserve">Não reutilizar no painel (100% fica vermelho).</t>
  </si>
  <si>
    <t xml:space="preserve">x &lt; 80% ou x ≥ 100%</t>
  </si>
  <si>
    <t xml:space="preserve">Hist. Média Dias Atraso</t>
  </si>
  <si>
    <t xml:space="preserve">d ≤ 0</t>
  </si>
  <si>
    <t xml:space="preserve">0 &lt; d ≤ 1</t>
  </si>
  <si>
    <t xml:space="preserve">d &gt; 1</t>
  </si>
  <si>
    <t xml:space="preserve">Notas</t>
  </si>
  <si>
    <t xml:space="preserve">N1 — Contraste no tema claro: as cores fixas do statusOPT (#34d399, #fb923c, #fd7e14) ficam abaixo de 3:1 sobre branco (valores a vermelho na coluna). O statusOPT já tem tons escuros para o tema claro nos botões (--btn-success #15803d, --btn-warning #b45309, --btn-danger #b91c1c). Sugestão para os dois ficheiros: criar --kpi-ok / --kpi-alerta / --kpi-critico com esses tons no tema claro, e as funções get…Color() passarem a ler corTema().</t>
  </si>
  <si>
    <t xml:space="preserve">N2 — No próprio statusOPT, "PRODUZIDO/PLANEADO" usa getCumprimentoColor no Dashboard e getKpiColor no Histórico. Ao copiar para o painel, usar a do Dashboard (R1).</t>
  </si>
  <si>
    <t xml:space="preserve">N3 — O laranja de alerta tem duas variantes no statusOPT (#fb923c geral, #fd7e14 só no % CC &gt; 8H). No painel usar sempre #fb923c.</t>
  </si>
  <si>
    <t xml:space="preserve">Gráficos do painel: cores e estilo atuais → statusOPT</t>
  </si>
  <si>
    <t xml:space="preserve">No statusOPT os eixos, grelha, legendas e rótulos leem as cores do tema com corTema(); os gráficos são redesenhados quando o tema muda.</t>
  </si>
  <si>
    <t xml:space="preserve">Gráfico</t>
  </si>
  <si>
    <t xml:space="preserve">Canvas</t>
  </si>
  <si>
    <t xml:space="preserve">Tipo</t>
  </si>
  <si>
    <t xml:space="preserve">Cores atuais</t>
  </si>
  <si>
    <t xml:space="preserve">Rótulos / eixos atuais</t>
  </si>
  <si>
    <t xml:space="preserve">Equivalente statusOPT</t>
  </si>
  <si>
    <t xml:space="preserve">Cores a aplicar</t>
  </si>
  <si>
    <t xml:space="preserve">Amostra nova</t>
  </si>
  <si>
    <t xml:space="preserve">Rótulos / eixos a aplicar</t>
  </si>
  <si>
    <t xml:space="preserve">G01</t>
  </si>
  <si>
    <t xml:space="preserve">Evolução por Semana/Mês (% Planeado vs Produzido)</t>
  </si>
  <si>
    <t xml:space="preserve">chartEvolucaoAdesao</t>
  </si>
  <si>
    <t xml:space="preserve">linha</t>
  </si>
  <si>
    <t xml:space="preserve">#005a9e, fill rgba(0,90,158,.1)</t>
  </si>
  <si>
    <t xml:space="preserve">datalabels #1e293b bold 11 · ticks/grelha por defeito do Chart.js (#666, rgba(0,0,0,.1)) — ilegível em fundo escuro</t>
  </si>
  <si>
    <t xml:space="preserve">Evolução Temporal (Histórico)</t>
  </si>
  <si>
    <t xml:space="preserve">#22d3ee, fill rgba(34,211,238,.15), tension .3; pontos coloridos por R1</t>
  </si>
  <si>
    <t xml:space="preserve">datalabels corTema('--chart-text-strong') bold 11 · ticks corTema('--chart-text') · grid corTema('--chart-grid') (x sem grelha nas barras) · 'Sem dados' corTema('--chart-empty') 14</t>
  </si>
  <si>
    <t xml:space="preserve">G02</t>
  </si>
  <si>
    <t xml:space="preserve">% Planeado vs Produzido por Área</t>
  </si>
  <si>
    <t xml:space="preserve">chartAdesaoArea</t>
  </si>
  <si>
    <t xml:space="preserve">barras</t>
  </si>
  <si>
    <t xml:space="preserve">#005a9e; selecionada #003d6b</t>
  </si>
  <si>
    <t xml:space="preserve">% Planeado vs Produzido por Área (Histórico)</t>
  </si>
  <si>
    <t xml:space="preserve">#22d3ee; não selecionadas rgba(34,211,238,.35)</t>
  </si>
  <si>
    <t xml:space="preserve">G03</t>
  </si>
  <si>
    <t xml:space="preserve">% Planeado vs Produzido por C.C.</t>
  </si>
  <si>
    <t xml:space="preserve">chartAdesaoCC</t>
  </si>
  <si>
    <t xml:space="preserve">% Planeado vs Produzido por C.C. (Histórico)</t>
  </si>
  <si>
    <t xml:space="preserve">datalabels corTema('--chart-text-strong') bold 11 · ticks corTema('--chart-text') · grid corTema('--chart-grid') (x sem grelha nas barras) · 'Sem dados' corTema('--chart-empty') 14 · badge bg-success com a área filtrada no título</t>
  </si>
  <si>
    <t xml:space="preserve">G04</t>
  </si>
  <si>
    <t xml:space="preserve">Evolução por Semana/Mês (Turnos Extra)</t>
  </si>
  <si>
    <t xml:space="preserve">chartEvolucao</t>
  </si>
  <si>
    <t xml:space="preserve">Solic. #64b5f6 · Garant. #005a9e</t>
  </si>
  <si>
    <t xml:space="preserve">Evolução Temporal: Planeada #22d3ee / Produzida #34d399</t>
  </si>
  <si>
    <t xml:space="preserve">Solic. #22d3ee · Garant. #34d399, fill .15</t>
  </si>
  <si>
    <t xml:space="preserve">datalabels corTema('--chart-text-strong') bold 11 · ticks corTema('--chart-text') · grid corTema('--chart-grid') (x sem grelha nas barras) · 'Sem dados' corTema('--chart-empty') 14 · legenda corTema(--chart-text-strong)</t>
  </si>
  <si>
    <t xml:space="preserve">G05</t>
  </si>
  <si>
    <t xml:space="preserve">Turnos por Área</t>
  </si>
  <si>
    <t xml:space="preserve">chartAreas</t>
  </si>
  <si>
    <t xml:space="preserve">Barras por Área</t>
  </si>
  <si>
    <t xml:space="preserve">#22d3ee; não selecionadas .35</t>
  </si>
  <si>
    <t xml:space="preserve">G06</t>
  </si>
  <si>
    <t xml:space="preserve">Turnos por C.C.</t>
  </si>
  <si>
    <t xml:space="preserve">chartCC</t>
  </si>
  <si>
    <t xml:space="preserve">Barras por C.C.</t>
  </si>
  <si>
    <t xml:space="preserve">G07</t>
  </si>
  <si>
    <t xml:space="preserve">Evolução Cobertura de Turnos Solicitados (%)</t>
  </si>
  <si>
    <t xml:space="preserve">chartEvolucaoNecPreenchidos</t>
  </si>
  <si>
    <t xml:space="preserve">#dc3545, fill rgba(220,53,69,.1)</t>
  </si>
  <si>
    <t xml:space="preserve">— (não há)</t>
  </si>
  <si>
    <t xml:space="preserve">Linha #22d3ee; pointBackgroundColor por R1 (verde/laranja/vermelho)</t>
  </si>
  <si>
    <t xml:space="preserve">G08</t>
  </si>
  <si>
    <t xml:space="preserve">Turnos por Motivo</t>
  </si>
  <si>
    <t xml:space="preserve">chartMotivos</t>
  </si>
  <si>
    <t xml:space="preserve">donut</t>
  </si>
  <si>
    <t xml:space="preserve">#005a9e #10b981 #f59e0b #dc3545 #64748b #0284c7 #8b5cf6 #ec4899</t>
  </si>
  <si>
    <t xml:space="preserve">datalabels #fff; sem borda entre fatias; legenda por defeito</t>
  </si>
  <si>
    <t xml:space="preserve">Causa Raiz dos Desvios (Histórico)</t>
  </si>
  <si>
    <t xml:space="preserve">#22d3ee #a78bfa #f87171 #fb923c #34d399 #facc15 #60a5fa #f472b6 #94a3b8 #4ade80 #c084fc #fb7185</t>
  </si>
  <si>
    <t xml:space="preserve">datalabels #0f172a bold 11 · borderColor corTema('--bg-card') largura 2 · legenda em baixo corTema('--chart-text-strong') 10</t>
  </si>
  <si>
    <t xml:space="preserve">G09</t>
  </si>
  <si>
    <t xml:space="preserve">Operadores por Turno</t>
  </si>
  <si>
    <t xml:space="preserve">chartOpsProducaoTurno</t>
  </si>
  <si>
    <t xml:space="preserve">Logística #0284c7 · Produção #fd7e14</t>
  </si>
  <si>
    <t xml:space="preserve">datalabels #1e293b bold 11 · ticks/grelha por defeito do Chart.js (#666, rgba(0,0,0,.1)) — ilegível em fundo escuro · legenda em baixo</t>
  </si>
  <si>
    <t xml:space="preserve">— (séries de identidade)</t>
  </si>
  <si>
    <t xml:space="preserve">Logística #22d3ee · Produção #fb923c</t>
  </si>
  <si>
    <t xml:space="preserve">G10</t>
  </si>
  <si>
    <t xml:space="preserve">Operadores Produção por Área</t>
  </si>
  <si>
    <t xml:space="preserve">chartOpsProducaoArea</t>
  </si>
  <si>
    <t xml:space="preserve">G11</t>
  </si>
  <si>
    <t xml:space="preserve">Operadores Produção por C.C.</t>
  </si>
  <si>
    <t xml:space="preserve">chartOpsProducaoCC</t>
  </si>
  <si>
    <t xml:space="preserve">Paletas lado a lado</t>
  </si>
  <si>
    <t xml:space="preserve">Painel TE (Motivos)</t>
  </si>
  <si>
    <t xml:space="preserve">statusOPT (Causa Raiz)</t>
  </si>
  <si>
    <t xml:space="preserve">#facc15</t>
  </si>
  <si>
    <t xml:space="preserve">#60a5fa</t>
  </si>
  <si>
    <t xml:space="preserve">#4ade80</t>
  </si>
  <si>
    <t xml:space="preserve">#c084fc</t>
  </si>
  <si>
    <t xml:space="preserve">#fb7185</t>
  </si>
  <si>
    <t xml:space="preserve">Componentes de interface: painel atual vs statusOPT</t>
  </si>
  <si>
    <t xml:space="preserve">Estrutura, superfícies, bordas, raios, espaçamentos e tipografia de cada bloco.</t>
  </si>
  <si>
    <t xml:space="preserve">Painel TE (atual)</t>
  </si>
  <si>
    <t xml:space="preserve">statusOPT (referência)</t>
  </si>
  <si>
    <t xml:space="preserve">Diferença</t>
  </si>
  <si>
    <t xml:space="preserve">Ação recomendada</t>
  </si>
  <si>
    <t xml:space="preserve">C01</t>
  </si>
  <si>
    <t xml:space="preserve">Tema / fundo da página</t>
  </si>
  <si>
    <t xml:space="preserve">Só tema claro. --sp-bg #f4f6f9; texto #333; cores escritas à mão em todo o CSS/JS (~40 cores diferentes).</t>
  </si>
  <si>
    <t xml:space="preserve">Tema escuro por defeito + tema claro; ~27 variáveis em :root e :root[data-theme=light]; html/body/#s4-workspace com var(--sp-bg) !important.</t>
  </si>
  <si>
    <t xml:space="preserve">Sem tema escuro, sem variáveis.</t>
  </si>
  <si>
    <t xml:space="preserve">Copiar os dois blocos :root do statusOPT e trocar todas as cores por var(--…) (folha "Cores Painel TE").</t>
  </si>
  <si>
    <t xml:space="preserve">C02</t>
  </si>
  <si>
    <t xml:space="preserve">Interruptor de tema</t>
  </si>
  <si>
    <t xml:space="preserve">Não existe.</t>
  </si>
  <si>
    <t xml:space="preserve">.opt-tema-switch 62×30, puxador 22px, sol/lua; preferência em localStorage "opt_tema_v1"; gráficos redesenhados ao trocar.</t>
  </si>
  <si>
    <t xml:space="preserve">Em falta.</t>
  </si>
  <si>
    <t xml:space="preserve">Copiar markup, CSS e aplicarTema(). Usar a MESMA chave "opt_tema_v1": no mesmo site SharePoint o localStorage é partilhado e o tema escolhido num painel aplica-se ao outro.</t>
  </si>
  <si>
    <t xml:space="preserve">C03</t>
  </si>
  <si>
    <t xml:space="preserve">.dashboard-header: branco, raio 10, padding 20/25, borda esq. 6px #005a9e; h2 fw-bold text-dark com ícone text-primary; subtítulo muted.</t>
  </si>
  <si>
    <t xml:space="preserve">.opt-header-bar: var(--bg-card), raio 8, padding 12/20, borda 1px; título .opt-header-title var(--cyan-accent) 1.3rem 700 letter-spacing .5px com fa-industry.</t>
  </si>
  <si>
    <t xml:space="preserve">Barra lateral azul, título preto e maior (h2 ≈ 2rem).</t>
  </si>
  <si>
    <t xml:space="preserve">Trocar para .opt-header-bar + .opt-header-title; subtítulo em pílula .opt-week-badge ou small var(--text-muted).</t>
  </si>
  <si>
    <t xml:space="preserve">C04</t>
  </si>
  <si>
    <t xml:space="preserve">Indicador "Atualizado a"</t>
  </si>
  <si>
    <t xml:space="preserve">.opt-header-status (pílula var(--bg-inset) 0.85rem) por cima do cabeçalho, laranja ≥ 45 min, vermelho ≥ 90 min.</t>
  </si>
  <si>
    <t xml:space="preserve">Acrescentar a pílula com a hora do último carregamento (só estilo + 1 linha em loadData).</t>
  </si>
  <si>
    <t xml:space="preserve">C05</t>
  </si>
  <si>
    <t xml:space="preserve">Botões do cabeçalho</t>
  </si>
  <si>
    <t xml:space="preserve">Ecrã Inteiro: btn-outline-secondary btn-sm fw-bold; Atualizar: btn-outline-primary (azul Bootstrap #0d6efd).</t>
  </si>
  <si>
    <t xml:space="preserve">Mesmas classes, mas redefinidas: outline-primary = var(--cyan-accent), hover fundo ciano / texto var(--on-accent); outline-secondary = var(--btn-secondary).</t>
  </si>
  <si>
    <t xml:space="preserve">Classes iguais, cores não.</t>
  </si>
  <si>
    <t xml:space="preserve">Copiar o bloco "FORMULÁRIOS E OVERRIDES BOOTSTRAP" (.btn-outline-*, .btn-*, .text-primary, .text-success, .text-muted, .text-dark).</t>
  </si>
  <si>
    <t xml:space="preserve">C06</t>
  </si>
  <si>
    <t xml:space="preserve">Barra de filtros</t>
  </si>
  <si>
    <t xml:space="preserve">.filter-section branco, raio 10, sticky top 10px; a classe border-0 do HTML anula a borda #005a9e do CSS. Rótulos 0.75rem maiúsculas muted com ícone text-primary.</t>
  </si>
  <si>
    <t xml:space="preserve">.opt-hist-filter-bar: var(--bg-card), raio 10, padding 10/15, borda 1px, sticky top 0, z-index 1030; rótulos 0.72rem 700 maiúsculas var(--text-muted).</t>
  </si>
  <si>
    <t xml:space="preserve">Muito próximo; muda fundo, borda e tamanho do rótulo.</t>
  </si>
  <si>
    <t xml:space="preserve">Aplicar .opt-hist-filter-bar (ou copiar as suas regras para .filter-section) e retirar border-0/bg-white do HTML.</t>
  </si>
  <si>
    <t xml:space="preserve">C07</t>
  </si>
  <si>
    <t xml:space="preserve">Multiselect dos filtros</t>
  </si>
  <si>
    <t xml:space="preserve">Dropdown Bootstrap: botão branco borda #ced4da 0.85rem; menu branco; "Selecionar Tudo" btn-link azul; "Limpar" text-danger.</t>
  </si>
  <si>
    <t xml:space="preserve">.opt-ms-toggle var(--bg-inset) borda var(--border-color) raio 6 0.85rem com chevron; painel var(--bg-elevated); ações em links var(--cyan-accent) 0.72rem; checkbox accent-color ciano.</t>
  </si>
  <si>
    <t xml:space="preserve">Cores e acabamento.</t>
  </si>
  <si>
    <t xml:space="preserve">Manter o componente do painel e pintá-lo com as variáveis (fundo inset, menu elevated, links ciano, accent-color).</t>
  </si>
  <si>
    <t xml:space="preserve">C08</t>
  </si>
  <si>
    <t xml:space="preserve">Secções (acordeão)</t>
  </si>
  <si>
    <t xml:space="preserve">.accordion-item sombra, raio 10; botão 1.05rem 700 #1e293b em branco com borda esq. 5px #005a9e; aberto: #005a9e sobre #eef5fc; corpo #f8fafc.</t>
  </si>
  <si>
    <t xml:space="preserve">Títulos colapsáveis .opt-mod-title (var(--cyan-accent) 1rem 700, ícone text-primary, chevron muted) dentro de .opt-mod-container (var(--bg-card), raio 10, borda 1px); acordeão de CC .accordion-btn-cc var(--bg-inset) texto ciano.</t>
  </si>
  <si>
    <t xml:space="preserve">Barra lateral azul e fundos claros fixos.</t>
  </si>
  <si>
    <t xml:space="preserve">Botão: fundo var(--bg-inset), texto var(--cyan-accent) 1rem 700, sem borda lateral; aberto var(--bg-card); item com borda 1px var(--border-color); corpo var(--sp-bg). Seta com o filtro ciano do statusOPT.</t>
  </si>
  <si>
    <t xml:space="preserve">C09</t>
  </si>
  <si>
    <t xml:space="preserve">Etiqueta de grupo (.section-tag)</t>
  </si>
  <si>
    <t xml:space="preserve">Pílula #475569 sobre #e2e8f0, 0.68–0.75rem 700 ("Cumprimento de Prazos", "Operadores", "Análise de Turnos").</t>
  </si>
  <si>
    <t xml:space="preserve">.opt-hist-section-title (var(--cyan-accent) 1rem 700 com ícone) para títulos de bloco; .opt-cc-stat-label (0.66rem 700 maiúsculas var(--text-muted)) para rótulos pequenos.</t>
  </si>
  <si>
    <t xml:space="preserve">Pílula cinzenta não existe no statusOPT.</t>
  </si>
  <si>
    <t xml:space="preserve">"Análise de Turnos" → .opt-hist-section-title; "Cumprimento de Prazos" e "Operadores" → rótulo pequeno em var(--text-muted).</t>
  </si>
  <si>
    <t xml:space="preserve">C10</t>
  </si>
  <si>
    <t xml:space="preserve">Cartão KPI (base)</t>
  </si>
  <si>
    <t xml:space="preserve">.kpi-card branco, raio 8, padding 14, borda esq. 4–8px colorida, hover translateY(-2px) em TODOS; títulos 0.6–0.85rem (inline), valores 1.5–2.8rem.</t>
  </si>
  <si>
    <t xml:space="preserve">.opt-summary-card var(--bg-card), raio 8, padding 12/10, centrado, borda 1px; título 0.82rem 700 var(--text-label); valor 1.7rem 800; hover só em .clickable (-3px + borda ciano).</t>
  </si>
  <si>
    <t xml:space="preserve">6 tamanhos de título e 5 de valor diferentes; barras laterais; hover sem ação.</t>
  </si>
  <si>
    <t xml:space="preserve">Ver folha "KPIs Painel TE". Uniformizar para 3 tamanhos: título 0.82rem, valor 1.7rem (principal 2.1rem, duplo 1.35rem).</t>
  </si>
  <si>
    <t xml:space="preserve">C11</t>
  </si>
  <si>
    <t xml:space="preserve">Grelha da linha de KPIs</t>
  </si>
  <si>
    <t xml:space="preserve">Dois blocos de colunas Bootstrap com espaçadores de 26px para alinhar as etiquetas.</t>
  </si>
  <si>
    <t xml:space="preserve">.opt-section-box-summary (var(--bg-card), raio 10, padding 12) com uma .row g-2 de colunas .col iguais.</t>
  </si>
  <si>
    <t xml:space="preserve">Layout mais irregular.</t>
  </si>
  <si>
    <t xml:space="preserve">Agrupar cada linha de KPIs numa .opt-section-box-summary com colunas iguais; elimina os espaçadores.</t>
  </si>
  <si>
    <t xml:space="preserve">C12</t>
  </si>
  <si>
    <t xml:space="preserve">Cartão de gráfico</t>
  </si>
  <si>
    <t xml:space="preserve">.chart-card branco, raio 10, padding 20, borda superior 4px com código de cor (área azul, C.C. verde, neutro, danger); título .card-title 1.02rem 700 text-dark com ícone colorido.</t>
  </si>
  <si>
    <t xml:space="preserve">.opt-chart-card var(--bg-card), raio 10, padding 15, borda 1px; título .chart-title 0.9rem 700 var(--text-strong); dica "Clique para…" 0.72rem muted com fa-arrow-pointer.</t>
  </si>
  <si>
    <t xml:space="preserve">Borda superior colorida não existe no statusOPT.</t>
  </si>
  <si>
    <t xml:space="preserve">Trocar para .opt-chart-card + .chart-title. A distinção Área/C.C. já fica na cor das barras (ciano/verde). Decidir se se mantém a borda colorida.</t>
  </si>
  <si>
    <t xml:space="preserve">C13</t>
  </si>
  <si>
    <t xml:space="preserve">Botões Semana/Mês</t>
  </si>
  <si>
    <t xml:space="preserve">btn-group btn-xs btn-outline-neutral (#64748b) ou btn-outline-danger (#dc3545); ativo = fundo cheio.</t>
  </si>
  <si>
    <t xml:space="preserve">.opt-chart-toggle: contorno var(--cyan-accent) 0.72rem 700, raio 5, padding 1/9; ativo fundo ciano texto var(--on-accent).</t>
  </si>
  <si>
    <t xml:space="preserve">Cores diferentes por gráfico.</t>
  </si>
  <si>
    <t xml:space="preserve">Usar .opt-chart-toggle em todos (uma só cor, ciano).</t>
  </si>
  <si>
    <t xml:space="preserve">C14</t>
  </si>
  <si>
    <t xml:space="preserve">Botão "Limpar filtro" dos gráficos</t>
  </si>
  <si>
    <t xml:space="preserve">btn-xs btn-outline-secondary com fa-xmark.</t>
  </si>
  <si>
    <t xml:space="preserve">btn-sm btn-outline-secondary 0.72rem padding 2/8 com fa-xmark.</t>
  </si>
  <si>
    <t xml:space="preserve">Praticamente igual.</t>
  </si>
  <si>
    <t xml:space="preserve">Só herda as cores do C05.</t>
  </si>
  <si>
    <t xml:space="preserve">C15</t>
  </si>
  <si>
    <t xml:space="preserve">Separadores (Tabelas de Detalhe)</t>
  </si>
  <si>
    <t xml:space="preserve">.nav-tabs: link 600 #495057, raio 8 8 0 0, padding 10/20; ativo #005a9e sobre branco, borda #dee2e6.</t>
  </si>
  <si>
    <t xml:space="preserve">Não há separadores; o equivalente visual é o par de botões .opt-chart-toggle / .opt-area-btn.</t>
  </si>
  <si>
    <t xml:space="preserve">Componente sem referência.</t>
  </si>
  <si>
    <t xml:space="preserve">Manter nav-tabs com variáveis: inativo var(--text-muted), ativo var(--cyan-accent) sobre var(--bg-card), bordas var(--border-color).</t>
  </si>
  <si>
    <t xml:space="preserve">C16</t>
  </si>
  <si>
    <t xml:space="preserve">Tabelas de detalhe</t>
  </si>
  <si>
    <t xml:space="preserve">table-striped table-hover; thead table-dark (#212529); corpo branco; DataTables (pesquisa, paginação, info) com estilos Bootstrap.</t>
  </si>
  <si>
    <t xml:space="preserve">.table-opt: var(--bg-card), 0.8rem, td centrado padding 5/4, th var(--bg-inset) var(--text-label) 700 com borda inferior 2px; riscas var(--bg-stripe).</t>
  </si>
  <si>
    <t xml:space="preserve">Cabeçalho preto fixo; DataTables não tem estilo no statusOPT.</t>
  </si>
  <si>
    <t xml:space="preserve">Aplicar .table-opt; trocar table-dark por nada. Acrescentar CSS para DataTables: input de pesquisa e select em var(--bg-inset), paginação ativa ciano, texto info var(--text-muted).</t>
  </si>
  <si>
    <t xml:space="preserve">C17</t>
  </si>
  <si>
    <t xml:space="preserve">Filtros dentro das tabelas</t>
  </si>
  <si>
    <t xml:space="preserve">.table-multiselect: botão branco #333 borda #ced4da 0.72rem; menu 0.78rem.</t>
  </si>
  <si>
    <t xml:space="preserve">.opt-th-filter-btn (ícone, opacidade .55 → 1 e ciano quando ativo) + .opt-col-filter-panel var(--bg-elevated).</t>
  </si>
  <si>
    <t xml:space="preserve">Abordagem diferente.</t>
  </si>
  <si>
    <t xml:space="preserve">Manter o componente e pintá-lo com var(--bg-inset)/var(--text-main)/var(--border-color).</t>
  </si>
  <si>
    <t xml:space="preserve">C18</t>
  </si>
  <si>
    <t xml:space="preserve">Indicador de carregamento</t>
  </si>
  <si>
    <t xml:space="preserve">spinner-border text-primary 3rem; texto text-muted.</t>
  </si>
  <si>
    <t xml:space="preserve">Igual, com text-primary = ciano e texto fw-bold.</t>
  </si>
  <si>
    <t xml:space="preserve">Só cor.</t>
  </si>
  <si>
    <t xml:space="preserve">Herdado do C05 + fw-bold.</t>
  </si>
  <si>
    <t xml:space="preserve">C19</t>
  </si>
  <si>
    <t xml:space="preserve">Ecrã inteiro</t>
  </si>
  <si>
    <t xml:space="preserve">#dashboardAppContainer:fullscreen fundo var(--sp-bg).</t>
  </si>
  <si>
    <t xml:space="preserve">Mantém-se; passa a seguir o tema por usar var(--sp-bg).</t>
  </si>
  <si>
    <t xml:space="preserve">C20</t>
  </si>
  <si>
    <t xml:space="preserve">Sombras</t>
  </si>
  <si>
    <t xml:space="preserve">--card-shadow 0 4px 12px rgba(0,0,0,.06); kpi-card hover translateY(-2px).</t>
  </si>
  <si>
    <t xml:space="preserve">Escuro: 0 8px 24px rgba(0,0,0,.4); claro: 0 2px 8px rgba(15,23,42,.12); hover só em clicáveis.</t>
  </si>
  <si>
    <t xml:space="preserve">Valores diferentes.</t>
  </si>
  <si>
    <t xml:space="preserve">Herdado do C01; retirar :hover de .kpi-card não clicável.</t>
  </si>
  <si>
    <t xml:space="preserve">C21</t>
  </si>
  <si>
    <t xml:space="preserve">Segoe UI, Tahoma… (igual). h2 do cabeçalho ~2rem.</t>
  </si>
  <si>
    <t xml:space="preserve">Segoe UI (igual). Escala: título app 1.3rem · secção 1rem · cartão 0.82rem · valor 1.7/2.1rem · tabela 0.8rem · rótulos 0.66–0.72rem.</t>
  </si>
  <si>
    <t xml:space="preserve">Fonte igual; escala diferente.</t>
  </si>
  <si>
    <t xml:space="preserve">Seguir a escala da folha "Tipografia".</t>
  </si>
  <si>
    <t xml:space="preserve">Escala tipográfica: painel atual vs statusOPT</t>
  </si>
  <si>
    <t xml:space="preserve">Tamanhos em rem (1rem ≈ 16px). Peso: 400 normal · 600 semi · 700 bold · 800 extra.</t>
  </si>
  <si>
    <t xml:space="preserve">Elemento</t>
  </si>
  <si>
    <t xml:space="preserve">Painel TE: tamanho</t>
  </si>
  <si>
    <t xml:space="preserve">Painel TE: peso / cor</t>
  </si>
  <si>
    <t xml:space="preserve">statusOPT: tamanho</t>
  </si>
  <si>
    <t xml:space="preserve">statusOPT: peso / cor</t>
  </si>
  <si>
    <t xml:space="preserve">Igual?</t>
  </si>
  <si>
    <t xml:space="preserve">Título da aplicação</t>
  </si>
  <si>
    <t xml:space="preserve">h2 (~2rem)</t>
  </si>
  <si>
    <t xml:space="preserve">700 · text-dark</t>
  </si>
  <si>
    <t xml:space="preserve">1.3rem</t>
  </si>
  <si>
    <t xml:space="preserve">700 · var(--cyan-accent) · letter-spacing .5px</t>
  </si>
  <si>
    <t xml:space="preserve">Subtítulo / estado no cabeçalho</t>
  </si>
  <si>
    <t xml:space="preserve">small (0.875rem)</t>
  </si>
  <si>
    <t xml:space="preserve">400 · muted</t>
  </si>
  <si>
    <t xml:space="preserve">0.85rem</t>
  </si>
  <si>
    <t xml:space="preserve">400 · var(--text-muted) em pílula</t>
  </si>
  <si>
    <t xml:space="preserve">Título de secção</t>
  </si>
  <si>
    <t xml:space="preserve">1.05rem</t>
  </si>
  <si>
    <t xml:space="preserve">700 · #1e293b (aberto #005a9e)</t>
  </si>
  <si>
    <t xml:space="preserve">1rem</t>
  </si>
  <si>
    <t xml:space="preserve">700 · var(--cyan-accent)</t>
  </si>
  <si>
    <t xml:space="preserve">Etiqueta de grupo</t>
  </si>
  <si>
    <t xml:space="preserve">0.68–0.75rem</t>
  </si>
  <si>
    <t xml:space="preserve">700 · #475569 em pílula</t>
  </si>
  <si>
    <t xml:space="preserve">0.66rem</t>
  </si>
  <si>
    <t xml:space="preserve">700 · maiúsculas · var(--text-muted)</t>
  </si>
  <si>
    <t xml:space="preserve">Título de KPI</t>
  </si>
  <si>
    <t xml:space="preserve">0.6 / 0.65 / 0.72 / 0.8 / 0.85rem</t>
  </si>
  <si>
    <t xml:space="preserve">700 · #64748b ou text-dark</t>
  </si>
  <si>
    <t xml:space="preserve">0.82rem</t>
  </si>
  <si>
    <t xml:space="preserve">700 · maiúsculas · var(--text-label)</t>
  </si>
  <si>
    <t xml:space="preserve">Valor de KPI principal</t>
  </si>
  <si>
    <t xml:space="preserve">2.8rem / 2.2rem</t>
  </si>
  <si>
    <t xml:space="preserve">800 · text-dark</t>
  </si>
  <si>
    <t xml:space="preserve">2.1rem</t>
  </si>
  <si>
    <t xml:space="preserve">800 · cor do semáforo</t>
  </si>
  <si>
    <t xml:space="preserve">Valor de KPI normal</t>
  </si>
  <si>
    <t xml:space="preserve">1.8rem</t>
  </si>
  <si>
    <t xml:space="preserve">700/800 · text-dark ou cor</t>
  </si>
  <si>
    <t xml:space="preserve">1.7rem</t>
  </si>
  <si>
    <t xml:space="preserve">800 · cor do semáforo ou var(--text-strong)</t>
  </si>
  <si>
    <t xml:space="preserve">Valor em cartão duplo</t>
  </si>
  <si>
    <t xml:space="preserve">1.5rem</t>
  </si>
  <si>
    <t xml:space="preserve">1.35rem</t>
  </si>
  <si>
    <t xml:space="preserve">800 · var(--text-strong)</t>
  </si>
  <si>
    <t xml:space="preserve">Texto auxiliar de KPI ("N de M")</t>
  </si>
  <si>
    <t xml:space="preserve">0.7rem</t>
  </si>
  <si>
    <t xml:space="preserve">0.72rem</t>
  </si>
  <si>
    <t xml:space="preserve">500 · var(--text-muted)</t>
  </si>
  <si>
    <t xml:space="preserve">Título de gráfico</t>
  </si>
  <si>
    <t xml:space="preserve">1.02rem (0.88rem num)</t>
  </si>
  <si>
    <t xml:space="preserve">0.9rem</t>
  </si>
  <si>
    <t xml:space="preserve">700 · var(--text-strong)</t>
  </si>
  <si>
    <t xml:space="preserve">Dica "Clique para filtrar"</t>
  </si>
  <si>
    <t xml:space="preserve">400 · var(--text-muted)</t>
  </si>
  <si>
    <t xml:space="preserve">Botões pequenos (toggle)</t>
  </si>
  <si>
    <t xml:space="preserve">400 · btn-xs</t>
  </si>
  <si>
    <t xml:space="preserve">700</t>
  </si>
  <si>
    <t xml:space="preserve">Rótulo dos filtros</t>
  </si>
  <si>
    <t xml:space="preserve">0.75rem</t>
  </si>
  <si>
    <t xml:space="preserve">700 · maiúsculas · muted</t>
  </si>
  <si>
    <t xml:space="preserve">Campo dos filtros</t>
  </si>
  <si>
    <t xml:space="preserve">400</t>
  </si>
  <si>
    <t xml:space="preserve">400 · var(--text-main)</t>
  </si>
  <si>
    <t xml:space="preserve">Tabela</t>
  </si>
  <si>
    <t xml:space="preserve">1rem (padrão Bootstrap)</t>
  </si>
  <si>
    <t xml:space="preserve">0.8rem</t>
  </si>
  <si>
    <t xml:space="preserve">400; cabeçalho 700 var(--text-label)</t>
  </si>
  <si>
    <t xml:space="preserve">Rótulos de dados nos gráficos</t>
  </si>
  <si>
    <t xml:space="preserve">11px</t>
  </si>
  <si>
    <t xml:space="preserve">bold · #1e293b</t>
  </si>
  <si>
    <t xml:space="preserve">bold · corTema('--chart-text-strong')</t>
  </si>
  <si>
    <t xml:space="preserve">Ordem recomendada de implementação</t>
  </si>
  <si>
    <t xml:space="preserve">Cada fase deixa o painel utilizável. As referências apontam para as linhas das outras folhas.</t>
  </si>
  <si>
    <t xml:space="preserve">Passo</t>
  </si>
  <si>
    <t xml:space="preserve">Fase</t>
  </si>
  <si>
    <t xml:space="preserve">O que fazer</t>
  </si>
  <si>
    <t xml:space="preserve">Referências</t>
  </si>
  <si>
    <t xml:space="preserve">1 · Base de tema</t>
  </si>
  <si>
    <t xml:space="preserve">Copiar :root (escuro) e :root[data-theme=light] do statusOPT; html/body com var(--sp-bg) e var(--text-main).</t>
  </si>
  <si>
    <t xml:space="preserve">Tokens statusOPT; C01</t>
  </si>
  <si>
    <t xml:space="preserve">Substituir todas as cores escritas à mão no CSS por variáveis.</t>
  </si>
  <si>
    <t xml:space="preserve">Copiar os overrides Bootstrap (.btn-outline-*, .btn-*, .text-*, .dropdown-menu, .form-select).</t>
  </si>
  <si>
    <t xml:space="preserve">Interruptor sol/lua + aplicarTema() com a chave "opt_tema_v1".</t>
  </si>
  <si>
    <t xml:space="preserve">2 · Estrutura</t>
  </si>
  <si>
    <t xml:space="preserve">Cabeçalho .opt-header-bar + pílula "Atualizado a".</t>
  </si>
  <si>
    <t xml:space="preserve">C03, C04</t>
  </si>
  <si>
    <t xml:space="preserve">Acordeão, barra de filtros e etiquetas de grupo com o estilo statusOPT.</t>
  </si>
  <si>
    <t xml:space="preserve">C06–C09</t>
  </si>
  <si>
    <t xml:space="preserve">3 · Indicadores</t>
  </si>
  <si>
    <t xml:space="preserve">Copiar getCumprimentoColor(), getCumprimentoBadgeClass(), getDelayCardConfig(); criar getPontualidadeComunicacaoColor() (R2).</t>
  </si>
  <si>
    <t xml:space="preserve">Regras de Cor R1–R3</t>
  </si>
  <si>
    <t xml:space="preserve">Reescrever updateKPIs()/updateComplianceKPIs(): deixam de mexer em background-color e border-left-color; passam a pintar só o número.</t>
  </si>
  <si>
    <t xml:space="preserve">K01, K04, K05, K08, K15</t>
  </si>
  <si>
    <t xml:space="preserve">Reconstruir os cartões em .opt-summary-card / .opt-kpi-dual (principal, duplos, neutros).</t>
  </si>
  <si>
    <t xml:space="preserve">K01–K15; C10, C11</t>
  </si>
  <si>
    <t xml:space="preserve">4 · Gráficos</t>
  </si>
  <si>
    <t xml:space="preserve">Função corTema(); eixos, grelha, legendas e rótulos com as variações de --chart-*; redesenhar ao trocar tema.</t>
  </si>
  <si>
    <t xml:space="preserve">Gráficos G01–G11</t>
  </si>
  <si>
    <t xml:space="preserve">Trocar as cores das séries (Área ciano, C.C. verde, paleta de 12 cores no donut).</t>
  </si>
  <si>
    <t xml:space="preserve">Cartões de gráfico .opt-chart-card e toggles .opt-chart-toggle.</t>
  </si>
  <si>
    <t xml:space="preserve">C12, C13</t>
  </si>
  <si>
    <t xml:space="preserve">5 · Tabelas</t>
  </si>
  <si>
    <t xml:space="preserve">.table-opt nas duas tabelas + CSS de DataTables com variáveis; badges da tabela com R1.</t>
  </si>
  <si>
    <t xml:space="preserve">C16, C17, K16–K18</t>
  </si>
  <si>
    <t xml:space="preserve">6 · Decisões</t>
  </si>
  <si>
    <t xml:space="preserve">Confirmar: limiar de R3 (−3 turnos?) e cor do Δ positivo (verde ou ciano); manter ou não a borda colorida dos cartões de gráfico; tema por defeito (escuro como o statusOPT?).</t>
  </si>
  <si>
    <t xml:space="preserve">R3; C12</t>
  </si>
  <si>
    <t xml:space="preserve">Opcional (ambos)</t>
  </si>
  <si>
    <t xml:space="preserve">Variáveis --kpi-ok/--kpi-alerta/--kpi-critico com tons escuros no tema claro, nos dois ficheiros (contraste).</t>
  </si>
  <si>
    <t xml:space="preserve">Regras de Cor N1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</si>
</sst>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0&quot;:1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172A"/>
      <name val="Arial"/>
      <family val="0"/>
      <charset val="1"/>
    </font>
    <font>
      <i val="true"/>
      <sz val="10"/>
      <color rgb="FF475569"/>
      <name val="Arial"/>
      <family val="0"/>
      <charset val="1"/>
    </font>
    <font>
      <b val="true"/>
      <sz val="12"/>
      <color rgb="FF0E749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u val="single"/>
      <sz val="10"/>
      <color rgb="FF0E749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E2E8F0"/>
      <name val="Arial"/>
      <family val="0"/>
      <charset val="1"/>
    </font>
  </fonts>
  <fills count="79">
    <fill>
      <patternFill patternType="none"/>
    </fill>
    <fill>
      <patternFill patternType="gray125"/>
    </fill>
    <fill>
      <patternFill patternType="mediumGray">
        <fgColor rgb="FF0C1323"/>
        <bgColor rgb="FF131C2F"/>
      </patternFill>
    </fill>
    <fill>
      <patternFill patternType="solid">
        <fgColor rgb="FFE2E8F0"/>
        <bgColor rgb="FFE6EEF5"/>
      </patternFill>
    </fill>
    <fill>
      <patternFill patternType="solid">
        <fgColor rgb="FF09B7C5"/>
        <bgColor rgb="FF11D0F0"/>
      </patternFill>
    </fill>
    <fill>
      <patternFill patternType="solid">
        <fgColor rgb="FFEEF2F7"/>
        <bgColor rgb="FFF1F5F9"/>
      </patternFill>
    </fill>
    <fill>
      <patternFill patternType="solid">
        <fgColor rgb="FF1E293B"/>
        <bgColor rgb="FF131C2F"/>
      </patternFill>
    </fill>
    <fill>
      <patternFill patternType="solid">
        <fgColor rgb="FFFFFFFF"/>
        <bgColor rgb="FFF8FAFC"/>
      </patternFill>
    </fill>
    <fill>
      <patternFill patternType="darkGray">
        <fgColor rgb="FF0C1323"/>
        <bgColor rgb="FF000000"/>
      </patternFill>
    </fill>
    <fill>
      <patternFill patternType="solid">
        <fgColor rgb="FFF1F5F9"/>
        <bgColor rgb="FFF4F6F9"/>
      </patternFill>
    </fill>
    <fill>
      <patternFill patternType="solid">
        <fgColor rgb="FF131C2F"/>
        <bgColor rgb="FF0C1323"/>
      </patternFill>
    </fill>
    <fill>
      <patternFill patternType="solid">
        <fgColor rgb="FFE9EEF4"/>
        <bgColor rgb="FFE6EEF5"/>
      </patternFill>
    </fill>
    <fill>
      <patternFill patternType="darkGray">
        <fgColor rgb="FF131C2F"/>
        <bgColor rgb="FF1E293B"/>
      </patternFill>
    </fill>
    <fill>
      <patternFill patternType="solid">
        <fgColor rgb="FF2E373F"/>
        <bgColor rgb="FF124A3E"/>
      </patternFill>
    </fill>
    <fill>
      <patternFill patternType="solid">
        <fgColor rgb="FFCBD5E1"/>
        <bgColor rgb="FFC4DEFE"/>
      </patternFill>
    </fill>
    <fill>
      <patternFill patternType="mediumGray">
        <fgColor rgb="FF066E8B"/>
        <bgColor rgb="FF0C8C5B"/>
      </patternFill>
    </fill>
    <fill>
      <patternFill patternType="solid">
        <fgColor rgb="FF11D0F0"/>
        <bgColor rgb="FF09B7C5"/>
      </patternFill>
    </fill>
    <fill>
      <patternFill patternType="solid">
        <fgColor rgb="FF066E8B"/>
        <bgColor rgb="FF0C8C5B"/>
      </patternFill>
    </fill>
    <fill>
      <patternFill patternType="solid">
        <fgColor rgb="FFF8FAFC"/>
        <bgColor rgb="FFF4F6F9"/>
      </patternFill>
    </fill>
    <fill>
      <patternFill patternType="darkGray">
        <fgColor rgb="FF8DB5D2"/>
        <bgColor rgb="FFAD79FB"/>
      </patternFill>
    </fill>
    <fill>
      <patternFill patternType="solid">
        <fgColor rgb="FF505C6E"/>
        <bgColor rgb="FF15803D"/>
      </patternFill>
    </fill>
    <fill>
      <patternFill patternType="darkGray">
        <fgColor rgb="FF505C6E"/>
        <bgColor rgb="FF2E373F"/>
      </patternFill>
    </fill>
    <fill>
      <patternFill patternType="darkGray">
        <fgColor rgb="FF2E373F"/>
        <bgColor rgb="FF1E293B"/>
      </patternFill>
    </fill>
    <fill>
      <patternFill patternType="solid">
        <fgColor rgb="FFECECEE"/>
        <bgColor rgb="FFE9EEF4"/>
      </patternFill>
    </fill>
    <fill>
      <patternFill patternType="solid">
        <fgColor rgb="FFFBBF24"/>
        <bgColor rgb="FFFFC107"/>
      </patternFill>
    </fill>
    <fill>
      <patternFill patternType="darkGray">
        <fgColor rgb="FF9D5C05"/>
        <bgColor rgb="FFDC2E36"/>
      </patternFill>
    </fill>
    <fill>
      <patternFill patternType="solid">
        <fgColor rgb="FF38DA91"/>
        <bgColor rgb="FF11D0F0"/>
      </patternFill>
    </fill>
    <fill>
      <patternFill patternType="solid">
        <fgColor rgb="FF15803D"/>
        <bgColor rgb="FF0C8C5B"/>
      </patternFill>
    </fill>
    <fill>
      <patternFill patternType="solid">
        <fgColor rgb="FFF87171"/>
        <bgColor rgb="FFFB7185"/>
      </patternFill>
    </fill>
    <fill>
      <patternFill patternType="darkGray">
        <fgColor rgb="FFAA1C1E"/>
        <bgColor rgb="FFDC2E36"/>
      </patternFill>
    </fill>
    <fill>
      <patternFill patternType="solid">
        <fgColor rgb="FFFB923C"/>
        <bgColor rgb="FFF59E0B"/>
      </patternFill>
    </fill>
    <fill>
      <patternFill patternType="darkGray">
        <fgColor rgb="FFF67B09"/>
        <bgColor rgb="FFFB923C"/>
      </patternFill>
    </fill>
    <fill>
      <patternFill patternType="darkGray">
        <fgColor rgb="FF4FB2F9"/>
        <bgColor rgb="FF11D0F0"/>
      </patternFill>
    </fill>
    <fill>
      <patternFill patternType="darkGray">
        <fgColor rgb="FFAD79FB"/>
        <bgColor rgb="FF8DB5D2"/>
      </patternFill>
    </fill>
    <fill>
      <patternFill patternType="solid">
        <fgColor rgb="FF8DB5D2"/>
        <bgColor rgb="FF4FB2F9"/>
      </patternFill>
    </fill>
    <fill>
      <patternFill patternType="solid">
        <fgColor rgb="FFEF4444"/>
        <bgColor rgb="FFDC2E36"/>
      </patternFill>
    </fill>
    <fill>
      <patternFill patternType="mediumGray">
        <fgColor rgb="FF18C725"/>
        <bgColor rgb="FF38DA91"/>
      </patternFill>
    </fill>
    <fill>
      <patternFill patternType="solid">
        <fgColor rgb="FF0C8C5B"/>
        <bgColor rgb="FF15803D"/>
      </patternFill>
    </fill>
    <fill>
      <patternFill patternType="solid">
        <fgColor rgb="FFF67B09"/>
        <bgColor rgb="FFFB923C"/>
      </patternFill>
    </fill>
    <fill>
      <patternFill patternType="mediumGray">
        <fgColor rgb="FF066E8B"/>
        <bgColor rgb="FF023F82"/>
      </patternFill>
    </fill>
    <fill>
      <patternFill patternType="mediumGray">
        <fgColor rgb="FF09B7C5"/>
        <bgColor rgb="FF18C725"/>
      </patternFill>
    </fill>
    <fill>
      <patternFill patternType="solid">
        <fgColor rgb="FFF4F6F9"/>
        <bgColor rgb="FFF1F5F9"/>
      </patternFill>
    </fill>
    <fill>
      <patternFill patternType="solid">
        <fgColor rgb="FF2E373F"/>
        <bgColor rgb="FF1E293B"/>
      </patternFill>
    </fill>
    <fill>
      <patternFill patternType="darkGray">
        <fgColor rgb="FFF1F5F9"/>
        <bgColor rgb="FFF0F8FE"/>
      </patternFill>
    </fill>
    <fill>
      <patternFill patternType="darkGray">
        <fgColor rgb="FFDBE6E4"/>
        <bgColor rgb="FFE2E8F0"/>
      </patternFill>
    </fill>
    <fill>
      <patternFill patternType="mediumGray">
        <fgColor rgb="FF0C8C5B"/>
        <bgColor rgb="FF15803D"/>
      </patternFill>
    </fill>
    <fill>
      <patternFill patternType="solid">
        <fgColor rgb="FFDBE6E4"/>
        <bgColor rgb="FFE2E8F0"/>
      </patternFill>
    </fill>
    <fill>
      <patternFill patternType="solid">
        <fgColor rgb="FF124A3E"/>
        <bgColor rgb="FF2E373F"/>
      </patternFill>
    </fill>
    <fill>
      <patternFill patternType="solid">
        <fgColor rgb="FFFFC107"/>
        <bgColor rgb="FFFBBF24"/>
      </patternFill>
    </fill>
    <fill>
      <patternFill patternType="solid">
        <fgColor rgb="FFFFF3CD"/>
        <bgColor rgb="FFFCEBEC"/>
      </patternFill>
    </fill>
    <fill>
      <patternFill patternType="darkGray">
        <fgColor rgb="FF9D5C05"/>
        <bgColor rgb="FF505C6E"/>
      </patternFill>
    </fill>
    <fill>
      <patternFill patternType="darkGray">
        <fgColor rgb="FFDC2E36"/>
        <bgColor rgb="FFEF4444"/>
      </patternFill>
    </fill>
    <fill>
      <patternFill patternType="solid">
        <fgColor rgb="FFF8D7DA"/>
        <bgColor rgb="FFFECACA"/>
      </patternFill>
    </fill>
    <fill>
      <patternFill patternType="solid">
        <fgColor rgb="FFAA1C1E"/>
        <bgColor rgb="FF9D5C05"/>
      </patternFill>
    </fill>
    <fill>
      <patternFill patternType="solid">
        <fgColor rgb="FF0479F2"/>
        <bgColor rgb="FF066E8B"/>
      </patternFill>
    </fill>
    <fill>
      <patternFill patternType="darkGray">
        <fgColor rgb="FFC4DEFE"/>
        <bgColor rgb="FFDBE6E4"/>
      </patternFill>
    </fill>
    <fill>
      <patternFill patternType="solid">
        <fgColor rgb="FF023F82"/>
        <bgColor rgb="FF124A3E"/>
      </patternFill>
    </fill>
    <fill>
      <patternFill patternType="darkGray">
        <fgColor rgb="FF11D0F0"/>
        <bgColor rgb="FF09B7C5"/>
      </patternFill>
    </fill>
    <fill>
      <patternFill patternType="darkGray">
        <fgColor rgb="FF0479F2"/>
        <bgColor rgb="FF066E8B"/>
      </patternFill>
    </fill>
    <fill>
      <patternFill patternType="darkGray">
        <fgColor rgb="FF4FB2F9"/>
        <bgColor rgb="FF8DB5D2"/>
      </patternFill>
    </fill>
    <fill>
      <patternFill patternType="darkGray">
        <fgColor rgb="FF8DB5D2"/>
        <bgColor rgb="FF38DA91"/>
      </patternFill>
    </fill>
    <fill>
      <patternFill patternType="solid">
        <fgColor rgb="FFFFE082"/>
        <bgColor rgb="FFFED7AA"/>
      </patternFill>
    </fill>
    <fill>
      <patternFill patternType="darkGray">
        <fgColor rgb="FF023F82"/>
        <bgColor rgb="FF124A3E"/>
      </patternFill>
    </fill>
    <fill>
      <patternFill patternType="solid">
        <fgColor rgb="FFF59E0B"/>
        <bgColor rgb="FFFB923C"/>
      </patternFill>
    </fill>
    <fill>
      <patternFill patternType="darkGray">
        <fgColor rgb="FFAD79FB"/>
        <bgColor rgb="FF505C6E"/>
      </patternFill>
    </fill>
    <fill>
      <patternFill patternType="solid">
        <fgColor rgb="FFEC4899"/>
        <bgColor rgb="FFEF4444"/>
      </patternFill>
    </fill>
    <fill>
      <patternFill patternType="solid">
        <fgColor rgb="FFF472B6"/>
        <bgColor rgb="FFFB7185"/>
      </patternFill>
    </fill>
    <fill>
      <patternFill patternType="solid">
        <fgColor rgb="FFE6EEF5"/>
        <bgColor rgb="FFE9EEF4"/>
      </patternFill>
    </fill>
    <fill>
      <patternFill patternType="mediumGray">
        <fgColor rgb="FF124A3E"/>
        <bgColor rgb="FF2E373F"/>
      </patternFill>
    </fill>
    <fill>
      <patternFill patternType="solid">
        <fgColor rgb="FFEAF7FC"/>
        <bgColor rgb="FFE6EEF5"/>
      </patternFill>
    </fill>
    <fill>
      <patternFill patternType="solid">
        <fgColor rgb="FFF0F8FE"/>
        <bgColor rgb="FFF1F5F9"/>
      </patternFill>
    </fill>
    <fill>
      <patternFill patternType="solid">
        <fgColor rgb="FFFCEBEC"/>
        <bgColor rgb="FFF0F0F0"/>
      </patternFill>
    </fill>
    <fill>
      <patternFill patternType="solid">
        <fgColor rgb="FFF0F0F0"/>
        <bgColor rgb="FFEEF2F7"/>
      </patternFill>
    </fill>
    <fill>
      <patternFill patternType="solid">
        <fgColor rgb="FFDC2E36"/>
        <bgColor rgb="FFEF4444"/>
      </patternFill>
    </fill>
    <fill>
      <patternFill patternType="solid">
        <fgColor rgb="FF18C725"/>
        <bgColor rgb="FF38DA91"/>
      </patternFill>
    </fill>
    <fill>
      <patternFill patternType="solid">
        <fgColor rgb="FFFACC15"/>
        <bgColor rgb="FFFFC107"/>
      </patternFill>
    </fill>
    <fill>
      <patternFill patternType="solid">
        <fgColor rgb="FF38DA91"/>
        <bgColor rgb="FF18C725"/>
      </patternFill>
    </fill>
    <fill>
      <patternFill patternType="darkGray">
        <fgColor rgb="FFAD79FB"/>
        <bgColor rgb="FFF472B6"/>
      </patternFill>
    </fill>
    <fill>
      <patternFill patternType="solid">
        <fgColor rgb="FFFB7185"/>
        <bgColor rgb="FFF8717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medium">
        <color rgb="FF0C132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2">
    <dxf>
      <fill>
        <patternFill patternType="solid">
          <fgColor rgb="FF0F172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3D6B"/>
          <bgColor rgb="FF000000"/>
        </patternFill>
      </fill>
    </dxf>
    <dxf>
      <fill>
        <patternFill patternType="solid">
          <fgColor rgb="FF005A9E"/>
          <bgColor rgb="FF000000"/>
        </patternFill>
      </fill>
    </dxf>
    <dxf>
      <fill>
        <patternFill patternType="solid">
          <fgColor rgb="FF0284C7"/>
          <bgColor rgb="FF000000"/>
        </patternFill>
      </fill>
    </dxf>
    <dxf>
      <fill>
        <patternFill patternType="solid">
          <fgColor rgb="FF084298"/>
          <bgColor rgb="FF000000"/>
        </patternFill>
      </fill>
    </dxf>
    <dxf>
      <fill>
        <patternFill patternType="solid">
          <fgColor rgb="FF0D6EFD"/>
          <bgColor rgb="FF000000"/>
        </patternFill>
      </fill>
    </dxf>
    <dxf>
      <fill>
        <patternFill patternType="solid">
          <fgColor rgb="FF0DCAF0"/>
          <bgColor rgb="FF000000"/>
        </patternFill>
      </fill>
    </dxf>
    <dxf>
      <fill>
        <patternFill patternType="solid">
          <fgColor rgb="FF0F5132"/>
          <bgColor rgb="FF000000"/>
        </patternFill>
      </fill>
    </dxf>
    <dxf>
      <fill>
        <patternFill patternType="solid">
          <fgColor rgb="FF10B981"/>
          <bgColor rgb="FF000000"/>
        </patternFill>
      </fill>
    </dxf>
    <dxf>
      <fill>
        <patternFill patternType="solid">
          <fgColor rgb="FF198754"/>
          <bgColor rgb="FF000000"/>
        </patternFill>
      </fill>
    </dxf>
    <dxf>
      <fill>
        <patternFill patternType="solid">
          <fgColor rgb="FF1E293B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475569"/>
          <bgColor rgb="FF000000"/>
        </patternFill>
      </fill>
    </dxf>
    <dxf>
      <fill>
        <patternFill patternType="solid">
          <fgColor rgb="FF495057"/>
          <bgColor rgb="FF000000"/>
        </patternFill>
      </fill>
    </dxf>
    <dxf>
      <fill>
        <patternFill patternType="solid">
          <fgColor rgb="FF64748B"/>
          <bgColor rgb="FF000000"/>
        </patternFill>
      </fill>
    </dxf>
    <dxf>
      <fill>
        <patternFill patternType="solid">
          <fgColor rgb="FF64B5F6"/>
          <bgColor rgb="FF000000"/>
        </patternFill>
      </fill>
    </dxf>
    <dxf>
      <fill>
        <patternFill patternType="solid">
          <fgColor rgb="FF81C784"/>
          <bgColor rgb="FF000000"/>
        </patternFill>
      </fill>
    </dxf>
    <dxf>
      <fill>
        <patternFill patternType="solid">
          <fgColor rgb="FF842029"/>
          <bgColor rgb="FF000000"/>
        </patternFill>
      </fill>
    </dxf>
    <dxf>
      <fill>
        <patternFill patternType="solid">
          <fgColor rgb="FF856404"/>
          <bgColor rgb="FF000000"/>
        </patternFill>
      </fill>
    </dxf>
    <dxf>
      <fill>
        <patternFill patternType="solid">
          <fgColor rgb="FF8B5CF6"/>
          <bgColor rgb="FF000000"/>
        </patternFill>
      </fill>
    </dxf>
    <dxf>
      <fill>
        <patternFill patternType="solid">
          <fgColor rgb="FFCBD5E1"/>
          <bgColor rgb="FF000000"/>
        </patternFill>
      </fill>
    </dxf>
    <dxf>
      <fill>
        <patternFill patternType="solid">
          <fgColor rgb="FFCED4DA"/>
          <bgColor rgb="FF000000"/>
        </patternFill>
      </fill>
    </dxf>
    <dxf>
      <fill>
        <patternFill patternType="solid">
          <fgColor rgb="FFCFE2FF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DC3545"/>
          <bgColor rgb="FF000000"/>
        </patternFill>
      </fill>
    </dxf>
    <dxf>
      <fill>
        <patternFill patternType="solid">
          <fgColor rgb="FFDEE2E6"/>
          <bgColor rgb="FF000000"/>
        </patternFill>
      </fill>
    </dxf>
    <dxf>
      <fill>
        <patternFill patternType="solid">
          <fgColor rgb="FFE2E8F0"/>
          <bgColor rgb="FF000000"/>
        </patternFill>
      </fill>
    </dxf>
    <dxf>
      <fill>
        <patternFill patternType="solid">
          <fgColor rgb="FFE6EEF5"/>
          <bgColor rgb="FF000000"/>
        </patternFill>
      </fill>
    </dxf>
    <dxf>
      <fill>
        <patternFill patternType="solid">
          <fgColor rgb="FFEC4899"/>
          <bgColor rgb="FF000000"/>
        </patternFill>
      </fill>
    </dxf>
    <dxf>
      <fill>
        <patternFill patternType="solid">
          <fgColor rgb="FFEEF5FC"/>
          <bgColor rgb="FF000000"/>
        </patternFill>
      </fill>
    </dxf>
    <dxf>
      <fill>
        <patternFill patternType="solid">
          <fgColor rgb="FFF0F0F0"/>
          <bgColor rgb="FF000000"/>
        </patternFill>
      </fill>
    </dxf>
    <dxf>
      <fill>
        <patternFill patternType="solid">
          <fgColor rgb="FFF0F8FE"/>
          <bgColor rgb="FF000000"/>
        </patternFill>
      </fill>
    </dxf>
    <dxf>
      <fill>
        <patternFill patternType="solid">
          <fgColor rgb="FFF4F6F9"/>
          <bgColor rgb="FF000000"/>
        </patternFill>
      </fill>
    </dxf>
    <dxf>
      <fill>
        <patternFill patternType="solid">
          <fgColor rgb="FFF59E0B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FCEBEC"/>
          <bgColor rgb="FF000000"/>
        </patternFill>
      </fill>
    </dxf>
    <dxf>
      <fill>
        <patternFill patternType="solid">
          <fgColor rgb="FFFD7E14"/>
          <bgColor rgb="FF000000"/>
        </patternFill>
      </fill>
    </dxf>
    <dxf>
      <fill>
        <patternFill patternType="solid">
          <fgColor rgb="FFFFC107"/>
          <bgColor rgb="FF000000"/>
        </patternFill>
      </fill>
    </dxf>
    <dxf>
      <fill>
        <patternFill patternType="solid">
          <fgColor rgb="FFFFE082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4256"/>
          <bgColor rgb="FF000000"/>
        </patternFill>
      </fill>
    </dxf>
    <dxf>
      <fill>
        <patternFill patternType="solid">
          <fgColor rgb="FF22D3EE"/>
          <bgColor rgb="FF000000"/>
        </patternFill>
      </fill>
    </dxf>
    <dxf>
      <fill>
        <patternFill patternType="solid">
          <fgColor rgb="FF334155"/>
          <bgColor rgb="FF000000"/>
        </patternFill>
      </fill>
    </dxf>
    <dxf>
      <fill>
        <patternFill patternType="solid">
          <fgColor rgb="FF34D399"/>
          <bgColor rgb="FF000000"/>
        </patternFill>
      </fill>
    </dxf>
    <dxf>
      <fill>
        <patternFill patternType="solid">
          <fgColor rgb="FF38BDF8"/>
          <bgColor rgb="FF000000"/>
        </patternFill>
      </fill>
    </dxf>
    <dxf>
      <fill>
        <patternFill patternType="solid">
          <fgColor rgb="FF94A3B8"/>
          <bgColor rgb="FF000000"/>
        </patternFill>
      </fill>
    </dxf>
    <dxf>
      <fill>
        <patternFill patternType="solid">
          <fgColor rgb="FFA78BFA"/>
          <bgColor rgb="FF000000"/>
        </patternFill>
      </fill>
    </dxf>
    <dxf>
      <fill>
        <patternFill patternType="solid">
          <fgColor rgb="FFF472B6"/>
          <bgColor rgb="FF000000"/>
        </patternFill>
      </fill>
    </dxf>
    <dxf>
      <fill>
        <patternFill patternType="solid">
          <fgColor rgb="FFF87171"/>
          <bgColor rgb="FF000000"/>
        </patternFill>
      </fill>
    </dxf>
    <dxf>
      <fill>
        <patternFill patternType="solid">
          <fgColor rgb="FFFB923C"/>
          <bgColor rgb="FF000000"/>
        </patternFill>
      </fill>
    </dxf>
    <dxf>
      <fill>
        <patternFill patternType="solid">
          <fgColor rgb="FF0E7490"/>
          <bgColor rgb="FF000000"/>
        </patternFill>
      </fill>
    </dxf>
    <dxf>
      <fill>
        <patternFill patternType="solid">
          <fgColor rgb="FFB91C1C"/>
          <bgColor rgb="FF000000"/>
        </patternFill>
      </fill>
    </dxf>
    <dxf>
      <fill>
        <patternFill patternType="solid">
          <fgColor rgb="FFDEF8FC"/>
          <bgColor rgb="FF000000"/>
        </patternFill>
      </fill>
    </dxf>
    <dxf>
      <fill>
        <patternFill patternType="solid">
          <fgColor rgb="FFEEF2F7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FECACA"/>
          <bgColor rgb="FF000000"/>
        </patternFill>
      </fill>
    </dxf>
    <dxf>
      <fill>
        <patternFill patternType="solid">
          <fgColor rgb="FFFED7AA"/>
          <bgColor rgb="FF000000"/>
        </patternFill>
      </fill>
    </dxf>
    <dxf>
      <fill>
        <patternFill>
          <bgColor rgb="FFFECACA"/>
        </patternFill>
      </fill>
    </dxf>
    <dxf>
      <fill>
        <patternFill>
          <bgColor rgb="FFFED7AA"/>
        </patternFill>
      </fill>
    </dxf>
    <dxf>
      <fill>
        <patternFill>
          <bgColor rgb="FFD1FAE5"/>
        </patternFill>
      </fill>
    </dxf>
    <dxf>
      <fill>
        <patternFill>
          <bgColor rgb="FFBBF7D0"/>
        </patternFill>
      </fill>
    </dxf>
    <dxf>
      <fill>
        <patternFill>
          <bgColor rgb="FFBFDBFE"/>
        </patternFill>
      </fill>
    </dxf>
    <dxf>
      <fill>
        <patternFill patternType="solid">
          <fgColor rgb="FF059669"/>
          <bgColor rgb="FF000000"/>
        </patternFill>
      </fill>
    </dxf>
    <dxf>
      <fill>
        <patternFill patternType="solid">
          <fgColor rgb="FF33CC00"/>
          <bgColor rgb="FF000000"/>
        </patternFill>
      </fill>
    </dxf>
    <dxf>
      <fill>
        <patternFill patternType="solid">
          <fgColor rgb="FFDC2626"/>
          <bgColor rgb="FF000000"/>
        </patternFill>
      </fill>
    </dxf>
    <dxf>
      <fill>
        <patternFill patternType="solid">
          <fgColor rgb="FFEF4444"/>
          <bgColor rgb="FF000000"/>
        </patternFill>
      </fill>
    </dxf>
    <dxf>
      <font>
        <name val="Arial"/>
        <charset val="1"/>
        <family val="0"/>
        <b val="1"/>
        <color rgb="FFB91C1C"/>
      </font>
    </dxf>
    <dxf>
      <font>
        <name val="Arial"/>
        <charset val="1"/>
        <family val="0"/>
        <b val="1"/>
        <color rgb="FF15803D"/>
      </font>
    </dxf>
  </dxfs>
  <colors>
    <indexedColors>
      <rgbColor rgb="FF000000"/>
      <rgbColor rgb="FFFFFFFF"/>
      <rgbColor rgb="FFFCEBEC"/>
      <rgbColor rgb="FFE6EEF5"/>
      <rgbColor rgb="FFF0F8FE"/>
      <rgbColor rgb="FFFFC107"/>
      <rgbColor rgb="FFEC4899"/>
      <rgbColor rgb="FF09B7C5"/>
      <rgbColor rgb="FFEEF2F7"/>
      <rgbColor rgb="FF15803D"/>
      <rgbColor rgb="FF0C1323"/>
      <rgbColor rgb="FF9D5C05"/>
      <rgbColor rgb="FFECECEE"/>
      <rgbColor rgb="FF066E8B"/>
      <rgbColor rgb="FFC4DEFE"/>
      <rgbColor rgb="FFF87171"/>
      <rgbColor rgb="FFAD79FB"/>
      <rgbColor rgb="FFDC2E36"/>
      <rgbColor rgb="FFFFF3CD"/>
      <rgbColor rgb="FFEAF7FC"/>
      <rgbColor rgb="FFF0F0F0"/>
      <rgbColor rgb="FFFB7185"/>
      <rgbColor rgb="FF0479F2"/>
      <rgbColor rgb="FFCBD5E1"/>
      <rgbColor rgb="FFF8FAFC"/>
      <rgbColor rgb="FFF8D7DA"/>
      <rgbColor rgb="FFFBBF24"/>
      <rgbColor rgb="FFDBE6E4"/>
      <rgbColor rgb="FFE9EEF4"/>
      <rgbColor rgb="FFF1F5F9"/>
      <rgbColor rgb="FF0C8C5B"/>
      <rgbColor rgb="FFF4F6F9"/>
      <rgbColor rgb="FF11D0F0"/>
      <rgbColor rgb="FFBBF7D0"/>
      <rgbColor rgb="FFD1FAE5"/>
      <rgbColor rgb="FFFFE082"/>
      <rgbColor rgb="FF8DB5D2"/>
      <rgbColor rgb="FFF472B6"/>
      <rgbColor rgb="FFFECACA"/>
      <rgbColor rgb="FFFED7AA"/>
      <rgbColor rgb="FFE2E8F0"/>
      <rgbColor rgb="FF38DA91"/>
      <rgbColor rgb="FFFB923C"/>
      <rgbColor rgb="FFFACC15"/>
      <rgbColor rgb="FFF59E0B"/>
      <rgbColor rgb="FFF67B09"/>
      <rgbColor rgb="FF505C6E"/>
      <rgbColor rgb="FF4FB2F9"/>
      <rgbColor rgb="FF023F82"/>
      <rgbColor rgb="FF18C725"/>
      <rgbColor rgb="FF131C2F"/>
      <rgbColor rgb="FF1E293B"/>
      <rgbColor rgb="FFAA1C1E"/>
      <rgbColor rgb="FFEF4444"/>
      <rgbColor rgb="FF124A3E"/>
      <rgbColor rgb="FF2E37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auditoria_estilos_painelTE_vs_statusOPT.xlsx" TargetMode="External"/><Relationship Id="rId2" Type="http://schemas.openxmlformats.org/officeDocument/2006/relationships/hyperlink" Target="auditoria_estilos_painelTE_vs_statusOPT.xlsx" TargetMode="External"/><Relationship Id="rId3" Type="http://schemas.openxmlformats.org/officeDocument/2006/relationships/hyperlink" Target="auditoria_estilos_painelTE_vs_statusOPT.xlsx" TargetMode="External"/><Relationship Id="rId4" Type="http://schemas.openxmlformats.org/officeDocument/2006/relationships/hyperlink" Target="auditoria_estilos_painelTE_vs_statusOPT.xlsx" TargetMode="External"/><Relationship Id="rId5" Type="http://schemas.openxmlformats.org/officeDocument/2006/relationships/hyperlink" Target="auditoria_estilos_painelTE_vs_statusOPT.xlsx" TargetMode="External"/><Relationship Id="rId6" Type="http://schemas.openxmlformats.org/officeDocument/2006/relationships/hyperlink" Target="auditoria_estilos_painelTE_vs_statusOPT.xlsx" TargetMode="External"/><Relationship Id="rId7" Type="http://schemas.openxmlformats.org/officeDocument/2006/relationships/hyperlink" Target="auditoria_estilos_painelTE_vs_statusOPT.xlsx" TargetMode="External"/><Relationship Id="rId8" Type="http://schemas.openxmlformats.org/officeDocument/2006/relationships/hyperlink" Target="auditoria_estilos_painelTE_vs_statusOPT.xlsx" TargetMode="External"/><Relationship Id="rId9" Type="http://schemas.openxmlformats.org/officeDocument/2006/relationships/hyperlink" Target="auditoria_estilos_painelTE_vs_statusOPT.xlsx" TargetMode="External"/><Relationship Id="rId10" Type="http://schemas.openxmlformats.org/officeDocument/2006/relationships/hyperlink" Target="auditoria_estilos_painelTE_vs_statusOPT.xlsx" TargetMode="External"/><Relationship Id="rId11" Type="http://schemas.openxmlformats.org/officeDocument/2006/relationships/hyperlink" Target="auditoria_estilos_painelTE_vs_statusOPT.xlsx" TargetMode="External"/><Relationship Id="rId12" Type="http://schemas.openxmlformats.org/officeDocument/2006/relationships/hyperlink" Target="auditoria_estilos_painelTE_vs_statusOPT.xlsx" TargetMode="External"/><Relationship Id="rId13" Type="http://schemas.openxmlformats.org/officeDocument/2006/relationships/hyperlink" Target="auditoria_estilos_painelTE_vs_statusOPT.xlsx" TargetMode="External"/><Relationship Id="rId14" Type="http://schemas.openxmlformats.org/officeDocument/2006/relationships/hyperlink" Target="auditoria_estilos_painelTE_vs_statusOPT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6"/>
    <col collapsed="false" customWidth="true" hidden="false" outlineLevel="0" max="6" min="6" style="0" width="6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customFormat="false" ht="15" hidden="false" customHeight="false" outlineLevel="0" collapsed="false">
      <c r="A7" s="6" t="s">
        <v>10</v>
      </c>
      <c r="B7" s="7" t="n">
        <f aca="false">COUNTA('KPIs Painel TE'!A5:A22)</f>
        <v>18</v>
      </c>
      <c r="C7" s="7" t="n">
        <f aca="false">COUNTIF('KPIs Painel TE'!P5:P22,"Alta")</f>
        <v>7</v>
      </c>
      <c r="D7" s="7" t="n">
        <f aca="false">COUNTIF('KPIs Painel TE'!P5:P22,"Média")</f>
        <v>10</v>
      </c>
      <c r="E7" s="7" t="n">
        <f aca="false">COUNTIF('KPIs Painel TE'!P5:P22,"Baixa")</f>
        <v>1</v>
      </c>
      <c r="F7" s="7" t="n">
        <f aca="false">COUNTIF('KPIs Painel TE'!R5:R22,"Feito")</f>
        <v>0</v>
      </c>
    </row>
    <row r="8" customFormat="false" ht="15" hidden="false" customHeight="false" outlineLevel="0" collapsed="false">
      <c r="A8" s="6" t="s">
        <v>11</v>
      </c>
      <c r="B8" s="7" t="n">
        <f aca="false">COUNTA('Cores Painel TE'!A5:A46)</f>
        <v>42</v>
      </c>
      <c r="C8" s="7" t="n">
        <f aca="false">COUNTIF('Cores Painel TE'!H5:H46,"Alta")</f>
        <v>18</v>
      </c>
      <c r="D8" s="7" t="n">
        <f aca="false">COUNTIF('Cores Painel TE'!H5:H46,"Média")</f>
        <v>17</v>
      </c>
      <c r="E8" s="7" t="n">
        <f aca="false">COUNTIF('Cores Painel TE'!H5:H46,"Baixa")</f>
        <v>7</v>
      </c>
      <c r="F8" s="7" t="n">
        <f aca="false">COUNTIF('Cores Painel TE'!I5:I46,"Feito")</f>
        <v>0</v>
      </c>
    </row>
    <row r="9" customFormat="false" ht="15" hidden="false" customHeight="false" outlineLevel="0" collapsed="false">
      <c r="A9" s="6" t="s">
        <v>12</v>
      </c>
      <c r="B9" s="7" t="n">
        <f aca="false">COUNTA(Gráficos!A5:A15)</f>
        <v>11</v>
      </c>
      <c r="C9" s="7" t="n">
        <f aca="false">COUNTIF(Gráficos!L5:L15,"Alta")</f>
        <v>4</v>
      </c>
      <c r="D9" s="7" t="n">
        <f aca="false">COUNTIF(Gráficos!L5:L15,"Média")</f>
        <v>7</v>
      </c>
      <c r="E9" s="7" t="n">
        <f aca="false">COUNTIF(Gráficos!L5:L15,"Baixa")</f>
        <v>0</v>
      </c>
      <c r="F9" s="7" t="n">
        <f aca="false">COUNTIF(Gráficos!M5:M15,"Feito")</f>
        <v>0</v>
      </c>
    </row>
    <row r="10" customFormat="false" ht="15" hidden="false" customHeight="false" outlineLevel="0" collapsed="false">
      <c r="A10" s="6" t="s">
        <v>13</v>
      </c>
      <c r="B10" s="7" t="n">
        <f aca="false">COUNTA(Componentes!A5:A25)</f>
        <v>21</v>
      </c>
      <c r="C10" s="7" t="n">
        <f aca="false">COUNTIF(Componentes!G5:G25,"Alta")</f>
        <v>6</v>
      </c>
      <c r="D10" s="7" t="n">
        <f aca="false">COUNTIF(Componentes!G5:G25,"Média")</f>
        <v>9</v>
      </c>
      <c r="E10" s="7" t="n">
        <f aca="false">COUNTIF(Componentes!G5:G25,"Baixa")</f>
        <v>6</v>
      </c>
      <c r="F10" s="7" t="n">
        <f aca="false">COUNTIF(Componentes!I5:I25,"Feito")</f>
        <v>0</v>
      </c>
    </row>
    <row r="11" customFormat="false" ht="15" hidden="false" customHeight="false" outlineLevel="0" collapsed="false">
      <c r="A11" s="6" t="s">
        <v>14</v>
      </c>
      <c r="B11" s="7" t="n">
        <f aca="false">COUNTA('Plano de Ação'!A5:A19)</f>
        <v>15</v>
      </c>
      <c r="C11" s="7" t="n">
        <f aca="false">COUNTIF('Plano de Ação'!E5:E19,"Alta")</f>
        <v>10</v>
      </c>
      <c r="D11" s="7" t="n">
        <f aca="false">COUNTIF('Plano de Ação'!E5:E19,"Média")</f>
        <v>4</v>
      </c>
      <c r="E11" s="7" t="n">
        <f aca="false">COUNTIF('Plano de Ação'!E5:E19,"Baixa")</f>
        <v>1</v>
      </c>
      <c r="F11" s="7" t="n">
        <f aca="false">COUNTIF('Plano de Ação'!G5:G19,"Feito")</f>
        <v>0</v>
      </c>
    </row>
    <row r="12" customFormat="false" ht="15" hidden="false" customHeight="false" outlineLevel="0" collapsed="false">
      <c r="A12" s="8" t="s">
        <v>15</v>
      </c>
      <c r="B12" s="9" t="n">
        <f aca="false">SUM(B7:B11)</f>
        <v>107</v>
      </c>
      <c r="C12" s="9" t="n">
        <f aca="false">SUM(C7:C11)</f>
        <v>45</v>
      </c>
      <c r="D12" s="9" t="n">
        <f aca="false">SUM(D7:D11)</f>
        <v>47</v>
      </c>
      <c r="E12" s="9" t="n">
        <f aca="false">SUM(E7:E11)</f>
        <v>15</v>
      </c>
      <c r="F12" s="9" t="n">
        <f aca="false">SUM(F7:F11)</f>
        <v>0</v>
      </c>
    </row>
    <row r="13" customFormat="false" ht="15" hidden="false" customHeight="false" outlineLevel="0" collapsed="false">
      <c r="A13" s="10" t="s">
        <v>16</v>
      </c>
      <c r="B13" s="11" t="n">
        <f aca="false">IF(B12=0,0,F12/B12)</f>
        <v>0</v>
      </c>
    </row>
    <row r="15" customFormat="false" ht="15" hidden="false" customHeight="false" outlineLevel="0" collapsed="false">
      <c r="A15" s="4" t="s">
        <v>17</v>
      </c>
    </row>
    <row r="16" customFormat="false" ht="42" hidden="false" customHeight="true" outlineLevel="0" collapsed="false">
      <c r="A16" s="12" t="s">
        <v>18</v>
      </c>
      <c r="B16" s="12"/>
      <c r="C16" s="12"/>
      <c r="D16" s="12"/>
      <c r="E16" s="12"/>
      <c r="F16" s="12"/>
    </row>
    <row r="17" customFormat="false" ht="42" hidden="false" customHeight="true" outlineLevel="0" collapsed="false">
      <c r="A17" s="12" t="s">
        <v>19</v>
      </c>
      <c r="B17" s="12"/>
      <c r="C17" s="12"/>
      <c r="D17" s="12"/>
      <c r="E17" s="12"/>
      <c r="F17" s="12"/>
    </row>
    <row r="18" customFormat="false" ht="42" hidden="false" customHeight="true" outlineLevel="0" collapsed="false">
      <c r="A18" s="12" t="s">
        <v>20</v>
      </c>
      <c r="B18" s="12"/>
      <c r="C18" s="12"/>
      <c r="D18" s="12"/>
      <c r="E18" s="12"/>
      <c r="F18" s="12"/>
    </row>
    <row r="19" customFormat="false" ht="42" hidden="false" customHeight="true" outlineLevel="0" collapsed="false">
      <c r="A19" s="12" t="s">
        <v>21</v>
      </c>
      <c r="B19" s="12"/>
      <c r="C19" s="12"/>
      <c r="D19" s="12"/>
      <c r="E19" s="12"/>
      <c r="F19" s="12"/>
    </row>
    <row r="20" customFormat="false" ht="42" hidden="false" customHeight="true" outlineLevel="0" collapsed="false">
      <c r="A20" s="12" t="s">
        <v>22</v>
      </c>
      <c r="B20" s="12"/>
      <c r="C20" s="12"/>
      <c r="D20" s="12"/>
      <c r="E20" s="12"/>
      <c r="F20" s="12"/>
    </row>
    <row r="21" customFormat="false" ht="42" hidden="false" customHeight="true" outlineLevel="0" collapsed="false">
      <c r="A21" s="12" t="s">
        <v>23</v>
      </c>
      <c r="B21" s="12"/>
      <c r="C21" s="12"/>
      <c r="D21" s="12"/>
      <c r="E21" s="12"/>
      <c r="F21" s="12"/>
    </row>
    <row r="22" customFormat="false" ht="42" hidden="false" customHeight="true" outlineLevel="0" collapsed="false">
      <c r="A22" s="12" t="s">
        <v>24</v>
      </c>
      <c r="B22" s="12"/>
      <c r="C22" s="12"/>
      <c r="D22" s="12"/>
      <c r="E22" s="12"/>
      <c r="F22" s="12"/>
    </row>
    <row r="24" customFormat="false" ht="15" hidden="false" customHeight="false" outlineLevel="0" collapsed="false">
      <c r="A24" s="4" t="s">
        <v>25</v>
      </c>
    </row>
    <row r="25" customFormat="false" ht="30" hidden="false" customHeight="true" outlineLevel="0" collapsed="false">
      <c r="A25" s="12" t="s">
        <v>26</v>
      </c>
      <c r="B25" s="12"/>
      <c r="C25" s="12"/>
      <c r="D25" s="12"/>
      <c r="E25" s="12"/>
      <c r="F25" s="12"/>
    </row>
    <row r="26" customFormat="false" ht="30" hidden="false" customHeight="true" outlineLevel="0" collapsed="false">
      <c r="A26" s="12" t="s">
        <v>27</v>
      </c>
      <c r="B26" s="12"/>
      <c r="C26" s="12"/>
      <c r="D26" s="12"/>
      <c r="E26" s="12"/>
      <c r="F26" s="12"/>
    </row>
    <row r="27" customFormat="false" ht="30" hidden="false" customHeight="true" outlineLevel="0" collapsed="false">
      <c r="A27" s="12" t="s">
        <v>28</v>
      </c>
      <c r="B27" s="12"/>
      <c r="C27" s="12"/>
      <c r="D27" s="12"/>
      <c r="E27" s="12"/>
      <c r="F27" s="12"/>
    </row>
    <row r="29" customFormat="false" ht="15" hidden="false" customHeight="false" outlineLevel="0" collapsed="false">
      <c r="A29" s="4" t="s">
        <v>29</v>
      </c>
    </row>
    <row r="30" customFormat="false" ht="15" hidden="false" customHeight="false" outlineLevel="0" collapsed="false">
      <c r="A30" s="13" t="s">
        <v>30</v>
      </c>
      <c r="B30" s="14" t="s">
        <v>31</v>
      </c>
      <c r="C30" s="14"/>
      <c r="D30" s="14"/>
      <c r="E30" s="14"/>
      <c r="F30" s="14"/>
    </row>
    <row r="31" customFormat="false" ht="15" hidden="false" customHeight="false" outlineLevel="0" collapsed="false">
      <c r="A31" s="13" t="s">
        <v>11</v>
      </c>
      <c r="B31" s="14" t="s">
        <v>32</v>
      </c>
      <c r="C31" s="14"/>
      <c r="D31" s="14"/>
      <c r="E31" s="14"/>
      <c r="F31" s="14"/>
    </row>
    <row r="32" customFormat="false" ht="15" hidden="false" customHeight="false" outlineLevel="0" collapsed="false">
      <c r="A32" s="13" t="s">
        <v>10</v>
      </c>
      <c r="B32" s="14" t="s">
        <v>33</v>
      </c>
      <c r="C32" s="14"/>
      <c r="D32" s="14"/>
      <c r="E32" s="14"/>
      <c r="F32" s="14"/>
    </row>
    <row r="33" customFormat="false" ht="15" hidden="false" customHeight="false" outlineLevel="0" collapsed="false">
      <c r="A33" s="13" t="s">
        <v>34</v>
      </c>
      <c r="B33" s="14" t="s">
        <v>35</v>
      </c>
      <c r="C33" s="14"/>
      <c r="D33" s="14"/>
      <c r="E33" s="14"/>
      <c r="F33" s="14"/>
    </row>
    <row r="34" customFormat="false" ht="15" hidden="false" customHeight="false" outlineLevel="0" collapsed="false">
      <c r="A34" s="13" t="s">
        <v>36</v>
      </c>
      <c r="B34" s="14" t="s">
        <v>37</v>
      </c>
      <c r="C34" s="14"/>
      <c r="D34" s="14"/>
      <c r="E34" s="14"/>
      <c r="F34" s="14"/>
    </row>
    <row r="35" customFormat="false" ht="15" hidden="false" customHeight="false" outlineLevel="0" collapsed="false">
      <c r="A35" s="13" t="s">
        <v>12</v>
      </c>
      <c r="B35" s="14" t="s">
        <v>38</v>
      </c>
      <c r="C35" s="14"/>
      <c r="D35" s="14"/>
      <c r="E35" s="14"/>
      <c r="F35" s="14"/>
    </row>
    <row r="36" customFormat="false" ht="15" hidden="false" customHeight="false" outlineLevel="0" collapsed="false">
      <c r="A36" s="13" t="s">
        <v>13</v>
      </c>
      <c r="B36" s="14" t="s">
        <v>39</v>
      </c>
      <c r="C36" s="14"/>
      <c r="D36" s="14"/>
      <c r="E36" s="14"/>
      <c r="F36" s="14"/>
    </row>
    <row r="37" customFormat="false" ht="15" hidden="false" customHeight="false" outlineLevel="0" collapsed="false">
      <c r="A37" s="13" t="s">
        <v>40</v>
      </c>
      <c r="B37" s="14" t="s">
        <v>41</v>
      </c>
      <c r="C37" s="14"/>
      <c r="D37" s="14"/>
      <c r="E37" s="14"/>
      <c r="F37" s="14"/>
    </row>
    <row r="38" customFormat="false" ht="15" hidden="false" customHeight="false" outlineLevel="0" collapsed="false">
      <c r="A38" s="13" t="s">
        <v>14</v>
      </c>
      <c r="B38" s="14" t="s">
        <v>42</v>
      </c>
      <c r="C38" s="14"/>
      <c r="D38" s="14"/>
      <c r="E38" s="14"/>
      <c r="F38" s="14"/>
    </row>
  </sheetData>
  <mergeCells count="20">
    <mergeCell ref="A3:F3"/>
    <mergeCell ref="A16:F16"/>
    <mergeCell ref="A17:F17"/>
    <mergeCell ref="A18:F18"/>
    <mergeCell ref="A19:F19"/>
    <mergeCell ref="A20:F20"/>
    <mergeCell ref="A21:F21"/>
    <mergeCell ref="A22:F22"/>
    <mergeCell ref="A25:F25"/>
    <mergeCell ref="A26:F26"/>
    <mergeCell ref="A27:F27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</mergeCells>
  <hyperlinks>
    <hyperlink ref="A7" r:id="rId1" location="'KPIs%20Painel%20TE'!A1" display="KPIs Painel TE"/>
    <hyperlink ref="A8" r:id="rId2" location="'Cores%20Painel%20TE'!A1" display="Cores Painel TE"/>
    <hyperlink ref="A9" r:id="rId3" location="'Gráficos'!A1" display="Gráficos"/>
    <hyperlink ref="A10" r:id="rId4" location="'Componentes'!A1" display="Componentes"/>
    <hyperlink ref="A11" r:id="rId5" location="'Plano%20de%20Ação'!A1" display="Plano de Ação"/>
    <hyperlink ref="A30" r:id="rId6" location="'Tokens%20statusOPT'!A1" display="Tokens statusOPT"/>
    <hyperlink ref="A31" r:id="rId7" location="'Cores%20Painel%20TE'!A1" display="Cores Painel TE"/>
    <hyperlink ref="A32" r:id="rId8" location="'KPIs%20Painel%20TE'!A1" display="KPIs Painel TE"/>
    <hyperlink ref="A33" r:id="rId9" location="'Ref.%20statusOPT'!A1" display="Ref. statusOPT"/>
    <hyperlink ref="A34" r:id="rId10" location="'Regras%20de%20Cor'!A1" display="Regras de Cor"/>
    <hyperlink ref="A35" r:id="rId11" location="'Gráficos'!A1" display="Gráficos"/>
    <hyperlink ref="A36" r:id="rId12" location="'Componentes'!A1" display="Componentes"/>
    <hyperlink ref="A37" r:id="rId13" location="'Tipografia'!A1" display="Tipografia"/>
    <hyperlink ref="A38" r:id="rId14" location="'Plano%20de%20Ação'!A1" display="Plano de Açã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48"/>
    <col collapsed="false" customWidth="true" hidden="false" outlineLevel="0" max="7" min="7" style="0" width="40"/>
  </cols>
  <sheetData>
    <row r="1" customFormat="false" ht="19.7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31.5" hidden="false" customHeight="true" outlineLevel="0" collapsed="false">
      <c r="A4" s="5" t="s">
        <v>45</v>
      </c>
      <c r="B4" s="5" t="s">
        <v>46</v>
      </c>
      <c r="C4" s="5" t="s">
        <v>47</v>
      </c>
      <c r="D4" s="5" t="s">
        <v>48</v>
      </c>
      <c r="E4" s="5" t="s">
        <v>49</v>
      </c>
      <c r="F4" s="5" t="s">
        <v>50</v>
      </c>
      <c r="G4" s="5" t="s">
        <v>51</v>
      </c>
    </row>
    <row r="5" customFormat="false" ht="15" hidden="false" customHeight="false" outlineLevel="0" collapsed="false">
      <c r="A5" s="15" t="s">
        <v>52</v>
      </c>
      <c r="B5" s="16" t="s">
        <v>53</v>
      </c>
      <c r="C5" s="17" t="s">
        <v>54</v>
      </c>
      <c r="D5" s="16" t="s">
        <v>55</v>
      </c>
      <c r="E5" s="17" t="s">
        <v>54</v>
      </c>
      <c r="F5" s="16" t="s">
        <v>56</v>
      </c>
      <c r="G5" s="16" t="s">
        <v>57</v>
      </c>
    </row>
    <row r="6" customFormat="false" ht="15" hidden="false" customHeight="false" outlineLevel="0" collapsed="false">
      <c r="A6" s="15" t="s">
        <v>58</v>
      </c>
      <c r="B6" s="16" t="s">
        <v>59</v>
      </c>
      <c r="C6" s="18" t="s">
        <v>54</v>
      </c>
      <c r="D6" s="16" t="s">
        <v>60</v>
      </c>
      <c r="E6" s="19" t="s">
        <v>54</v>
      </c>
      <c r="F6" s="16" t="s">
        <v>61</v>
      </c>
      <c r="G6" s="16" t="s">
        <v>62</v>
      </c>
    </row>
    <row r="7" customFormat="false" ht="15" hidden="false" customHeight="false" outlineLevel="0" collapsed="false">
      <c r="A7" s="15" t="s">
        <v>63</v>
      </c>
      <c r="B7" s="16" t="s">
        <v>64</v>
      </c>
      <c r="C7" s="16"/>
      <c r="D7" s="16" t="s">
        <v>65</v>
      </c>
      <c r="E7" s="16"/>
      <c r="F7" s="16" t="s">
        <v>66</v>
      </c>
      <c r="G7" s="16" t="s">
        <v>67</v>
      </c>
    </row>
    <row r="8" customFormat="false" ht="15" hidden="false" customHeight="false" outlineLevel="0" collapsed="false">
      <c r="A8" s="15" t="s">
        <v>68</v>
      </c>
      <c r="B8" s="16" t="s">
        <v>69</v>
      </c>
      <c r="C8" s="20" t="s">
        <v>54</v>
      </c>
      <c r="D8" s="16" t="s">
        <v>70</v>
      </c>
      <c r="E8" s="21" t="s">
        <v>54</v>
      </c>
      <c r="F8" s="16" t="s">
        <v>71</v>
      </c>
      <c r="G8" s="16" t="s">
        <v>72</v>
      </c>
    </row>
    <row r="9" customFormat="false" ht="15" hidden="false" customHeight="false" outlineLevel="0" collapsed="false">
      <c r="A9" s="15" t="s">
        <v>73</v>
      </c>
      <c r="B9" s="16" t="s">
        <v>74</v>
      </c>
      <c r="C9" s="22" t="s">
        <v>54</v>
      </c>
      <c r="D9" s="16" t="s">
        <v>75</v>
      </c>
      <c r="E9" s="23" t="s">
        <v>54</v>
      </c>
      <c r="F9" s="16" t="s">
        <v>76</v>
      </c>
      <c r="G9" s="16" t="s">
        <v>77</v>
      </c>
    </row>
    <row r="10" customFormat="false" ht="15" hidden="false" customHeight="false" outlineLevel="0" collapsed="false">
      <c r="A10" s="15" t="s">
        <v>78</v>
      </c>
      <c r="B10" s="16" t="s">
        <v>59</v>
      </c>
      <c r="C10" s="18" t="s">
        <v>54</v>
      </c>
      <c r="D10" s="16" t="s">
        <v>79</v>
      </c>
      <c r="E10" s="24" t="s">
        <v>54</v>
      </c>
      <c r="F10" s="16" t="s">
        <v>80</v>
      </c>
      <c r="G10" s="16" t="s">
        <v>81</v>
      </c>
    </row>
    <row r="11" customFormat="false" ht="15" hidden="false" customHeight="false" outlineLevel="0" collapsed="false">
      <c r="A11" s="15" t="s">
        <v>82</v>
      </c>
      <c r="B11" s="16" t="s">
        <v>69</v>
      </c>
      <c r="C11" s="20" t="s">
        <v>54</v>
      </c>
      <c r="D11" s="16" t="s">
        <v>70</v>
      </c>
      <c r="E11" s="21" t="s">
        <v>54</v>
      </c>
      <c r="F11" s="16" t="s">
        <v>83</v>
      </c>
      <c r="G11" s="16" t="s">
        <v>84</v>
      </c>
    </row>
    <row r="12" customFormat="false" ht="15" hidden="false" customHeight="false" outlineLevel="0" collapsed="false">
      <c r="A12" s="15" t="s">
        <v>85</v>
      </c>
      <c r="B12" s="16" t="s">
        <v>86</v>
      </c>
      <c r="C12" s="25" t="s">
        <v>54</v>
      </c>
      <c r="D12" s="16" t="s">
        <v>87</v>
      </c>
      <c r="E12" s="26" t="s">
        <v>54</v>
      </c>
      <c r="F12" s="16" t="s">
        <v>88</v>
      </c>
      <c r="G12" s="16" t="s">
        <v>89</v>
      </c>
    </row>
    <row r="13" customFormat="false" ht="15" hidden="false" customHeight="false" outlineLevel="0" collapsed="false">
      <c r="A13" s="15" t="s">
        <v>90</v>
      </c>
      <c r="B13" s="16" t="s">
        <v>91</v>
      </c>
      <c r="C13" s="27" t="s">
        <v>54</v>
      </c>
      <c r="D13" s="16" t="s">
        <v>79</v>
      </c>
      <c r="E13" s="24" t="s">
        <v>54</v>
      </c>
      <c r="F13" s="16" t="s">
        <v>92</v>
      </c>
      <c r="G13" s="16" t="s">
        <v>93</v>
      </c>
    </row>
    <row r="14" customFormat="false" ht="15" hidden="false" customHeight="false" outlineLevel="0" collapsed="false">
      <c r="A14" s="15" t="s">
        <v>94</v>
      </c>
      <c r="B14" s="16" t="s">
        <v>95</v>
      </c>
      <c r="C14" s="28" t="s">
        <v>54</v>
      </c>
      <c r="D14" s="16" t="s">
        <v>96</v>
      </c>
      <c r="E14" s="29" t="s">
        <v>54</v>
      </c>
      <c r="F14" s="16" t="s">
        <v>97</v>
      </c>
      <c r="G14" s="16" t="s">
        <v>98</v>
      </c>
    </row>
    <row r="15" customFormat="false" ht="15" hidden="false" customHeight="false" outlineLevel="0" collapsed="false">
      <c r="A15" s="15" t="s">
        <v>99</v>
      </c>
      <c r="B15" s="16" t="s">
        <v>100</v>
      </c>
      <c r="C15" s="17" t="s">
        <v>54</v>
      </c>
      <c r="D15" s="16" t="s">
        <v>101</v>
      </c>
      <c r="E15" s="30" t="s">
        <v>54</v>
      </c>
      <c r="F15" s="16" t="s">
        <v>102</v>
      </c>
      <c r="G15" s="16" t="s">
        <v>89</v>
      </c>
    </row>
    <row r="16" customFormat="false" ht="15" hidden="false" customHeight="false" outlineLevel="0" collapsed="false">
      <c r="A16" s="15" t="s">
        <v>103</v>
      </c>
      <c r="B16" s="16" t="s">
        <v>104</v>
      </c>
      <c r="C16" s="31" t="s">
        <v>54</v>
      </c>
      <c r="D16" s="16" t="s">
        <v>105</v>
      </c>
      <c r="E16" s="32" t="s">
        <v>54</v>
      </c>
      <c r="F16" s="16" t="s">
        <v>106</v>
      </c>
      <c r="G16" s="16" t="s">
        <v>107</v>
      </c>
    </row>
    <row r="17" customFormat="false" ht="15" hidden="false" customHeight="false" outlineLevel="0" collapsed="false">
      <c r="A17" s="15" t="s">
        <v>108</v>
      </c>
      <c r="B17" s="16" t="s">
        <v>109</v>
      </c>
      <c r="C17" s="33" t="s">
        <v>54</v>
      </c>
      <c r="D17" s="16" t="s">
        <v>59</v>
      </c>
      <c r="E17" s="18" t="s">
        <v>54</v>
      </c>
      <c r="F17" s="16" t="s">
        <v>110</v>
      </c>
      <c r="G17" s="16" t="s">
        <v>111</v>
      </c>
    </row>
    <row r="18" customFormat="false" ht="15" hidden="false" customHeight="false" outlineLevel="0" collapsed="false">
      <c r="A18" s="15" t="s">
        <v>112</v>
      </c>
      <c r="B18" s="16" t="s">
        <v>113</v>
      </c>
      <c r="C18" s="34" t="s">
        <v>54</v>
      </c>
      <c r="D18" s="16" t="s">
        <v>114</v>
      </c>
      <c r="E18" s="35" t="s">
        <v>54</v>
      </c>
      <c r="F18" s="16" t="s">
        <v>115</v>
      </c>
      <c r="G18" s="16" t="s">
        <v>116</v>
      </c>
    </row>
    <row r="19" customFormat="false" ht="15" hidden="false" customHeight="false" outlineLevel="0" collapsed="false">
      <c r="A19" s="15" t="s">
        <v>117</v>
      </c>
      <c r="B19" s="16" t="s">
        <v>96</v>
      </c>
      <c r="C19" s="29" t="s">
        <v>54</v>
      </c>
      <c r="D19" s="16" t="s">
        <v>95</v>
      </c>
      <c r="E19" s="28" t="s">
        <v>54</v>
      </c>
      <c r="F19" s="16" t="s">
        <v>118</v>
      </c>
      <c r="G19" s="16" t="s">
        <v>119</v>
      </c>
    </row>
    <row r="20" customFormat="false" ht="15" hidden="false" customHeight="false" outlineLevel="0" collapsed="false">
      <c r="A20" s="15" t="s">
        <v>120</v>
      </c>
      <c r="B20" s="16" t="s">
        <v>75</v>
      </c>
      <c r="C20" s="23" t="s">
        <v>54</v>
      </c>
      <c r="D20" s="16" t="s">
        <v>59</v>
      </c>
      <c r="E20" s="18" t="s">
        <v>54</v>
      </c>
      <c r="F20" s="16" t="s">
        <v>121</v>
      </c>
      <c r="G20" s="16" t="s">
        <v>122</v>
      </c>
    </row>
    <row r="21" customFormat="false" ht="15" hidden="false" customHeight="false" outlineLevel="0" collapsed="false">
      <c r="A21" s="15" t="s">
        <v>123</v>
      </c>
      <c r="B21" s="16" t="s">
        <v>59</v>
      </c>
      <c r="C21" s="18" t="s">
        <v>54</v>
      </c>
      <c r="D21" s="16" t="s">
        <v>70</v>
      </c>
      <c r="E21" s="21" t="s">
        <v>54</v>
      </c>
      <c r="F21" s="16" t="s">
        <v>124</v>
      </c>
      <c r="G21" s="16" t="s">
        <v>125</v>
      </c>
    </row>
    <row r="22" customFormat="false" ht="15" hidden="false" customHeight="false" outlineLevel="0" collapsed="false">
      <c r="A22" s="15" t="s">
        <v>126</v>
      </c>
      <c r="B22" s="16" t="s">
        <v>113</v>
      </c>
      <c r="C22" s="34" t="s">
        <v>54</v>
      </c>
      <c r="D22" s="16" t="s">
        <v>127</v>
      </c>
      <c r="E22" s="36" t="s">
        <v>54</v>
      </c>
      <c r="F22" s="16" t="s">
        <v>128</v>
      </c>
      <c r="G22" s="16" t="s">
        <v>129</v>
      </c>
    </row>
    <row r="23" customFormat="false" ht="15" hidden="false" customHeight="false" outlineLevel="0" collapsed="false">
      <c r="A23" s="15" t="s">
        <v>130</v>
      </c>
      <c r="B23" s="16" t="s">
        <v>75</v>
      </c>
      <c r="C23" s="23" t="s">
        <v>54</v>
      </c>
      <c r="D23" s="16" t="s">
        <v>59</v>
      </c>
      <c r="E23" s="18" t="s">
        <v>54</v>
      </c>
      <c r="F23" s="16" t="s">
        <v>131</v>
      </c>
      <c r="G23" s="16" t="s">
        <v>132</v>
      </c>
    </row>
    <row r="24" customFormat="false" ht="15" hidden="false" customHeight="false" outlineLevel="0" collapsed="false">
      <c r="A24" s="15" t="s">
        <v>133</v>
      </c>
      <c r="B24" s="16" t="s">
        <v>114</v>
      </c>
      <c r="C24" s="35" t="s">
        <v>54</v>
      </c>
      <c r="D24" s="16" t="s">
        <v>114</v>
      </c>
      <c r="E24" s="35" t="s">
        <v>54</v>
      </c>
      <c r="F24" s="16" t="s">
        <v>134</v>
      </c>
      <c r="G24" s="16" t="s">
        <v>89</v>
      </c>
    </row>
    <row r="25" customFormat="false" ht="15" hidden="false" customHeight="false" outlineLevel="0" collapsed="false">
      <c r="A25" s="15" t="s">
        <v>135</v>
      </c>
      <c r="B25" s="16" t="s">
        <v>136</v>
      </c>
      <c r="C25" s="37" t="s">
        <v>54</v>
      </c>
      <c r="D25" s="16" t="s">
        <v>137</v>
      </c>
      <c r="E25" s="38" t="s">
        <v>54</v>
      </c>
      <c r="F25" s="16" t="s">
        <v>138</v>
      </c>
      <c r="G25" s="16" t="s">
        <v>139</v>
      </c>
    </row>
    <row r="26" customFormat="false" ht="15" hidden="false" customHeight="false" outlineLevel="0" collapsed="false">
      <c r="A26" s="15" t="s">
        <v>140</v>
      </c>
      <c r="B26" s="16" t="s">
        <v>141</v>
      </c>
      <c r="C26" s="16"/>
      <c r="D26" s="16" t="s">
        <v>142</v>
      </c>
      <c r="E26" s="16"/>
      <c r="F26" s="16" t="s">
        <v>143</v>
      </c>
      <c r="G26" s="16" t="s">
        <v>89</v>
      </c>
    </row>
    <row r="27" customFormat="false" ht="15" hidden="false" customHeight="false" outlineLevel="0" collapsed="false">
      <c r="A27" s="15" t="s">
        <v>144</v>
      </c>
      <c r="B27" s="16" t="s">
        <v>145</v>
      </c>
      <c r="C27" s="31" t="s">
        <v>54</v>
      </c>
      <c r="D27" s="16" t="s">
        <v>105</v>
      </c>
      <c r="E27" s="32" t="s">
        <v>54</v>
      </c>
      <c r="F27" s="16" t="s">
        <v>146</v>
      </c>
      <c r="G27" s="16" t="s">
        <v>147</v>
      </c>
    </row>
    <row r="28" customFormat="false" ht="15" hidden="false" customHeight="false" outlineLevel="0" collapsed="false">
      <c r="A28" s="15" t="s">
        <v>148</v>
      </c>
      <c r="B28" s="16" t="s">
        <v>113</v>
      </c>
      <c r="C28" s="34" t="s">
        <v>54</v>
      </c>
      <c r="D28" s="16" t="s">
        <v>127</v>
      </c>
      <c r="E28" s="36" t="s">
        <v>54</v>
      </c>
      <c r="F28" s="16" t="s">
        <v>149</v>
      </c>
      <c r="G28" s="16" t="s">
        <v>150</v>
      </c>
    </row>
    <row r="29" customFormat="false" ht="15" hidden="false" customHeight="false" outlineLevel="0" collapsed="false">
      <c r="A29" s="15" t="s">
        <v>151</v>
      </c>
      <c r="B29" s="16" t="s">
        <v>152</v>
      </c>
      <c r="C29" s="39" t="s">
        <v>54</v>
      </c>
      <c r="D29" s="16" t="s">
        <v>153</v>
      </c>
      <c r="E29" s="40" t="s">
        <v>54</v>
      </c>
      <c r="F29" s="16" t="s">
        <v>154</v>
      </c>
      <c r="G29" s="16" t="s">
        <v>155</v>
      </c>
    </row>
    <row r="30" customFormat="false" ht="15" hidden="false" customHeight="false" outlineLevel="0" collapsed="false">
      <c r="A30" s="15" t="s">
        <v>156</v>
      </c>
      <c r="B30" s="16" t="s">
        <v>157</v>
      </c>
      <c r="C30" s="41" t="s">
        <v>54</v>
      </c>
      <c r="D30" s="16" t="s">
        <v>158</v>
      </c>
      <c r="E30" s="42" t="s">
        <v>54</v>
      </c>
      <c r="F30" s="16" t="s">
        <v>159</v>
      </c>
      <c r="G30" s="16" t="s">
        <v>160</v>
      </c>
    </row>
    <row r="31" customFormat="false" ht="15" hidden="false" customHeight="false" outlineLevel="0" collapsed="false">
      <c r="A31" s="15" t="s">
        <v>161</v>
      </c>
      <c r="B31" s="16" t="s">
        <v>162</v>
      </c>
      <c r="C31" s="43" t="s">
        <v>54</v>
      </c>
      <c r="D31" s="16" t="s">
        <v>163</v>
      </c>
      <c r="E31" s="44" t="s">
        <v>54</v>
      </c>
      <c r="F31" s="16" t="s">
        <v>164</v>
      </c>
      <c r="G31" s="16" t="s">
        <v>165</v>
      </c>
    </row>
    <row r="33" customFormat="false" ht="15" hidden="false" customHeight="false" outlineLevel="0" collapsed="false">
      <c r="A33" s="4" t="s">
        <v>166</v>
      </c>
    </row>
    <row r="34" customFormat="false" ht="15" hidden="false" customHeight="false" outlineLevel="0" collapsed="false">
      <c r="A34" s="45" t="s">
        <v>167</v>
      </c>
      <c r="B34" s="45" t="s">
        <v>168</v>
      </c>
      <c r="C34" s="45" t="s">
        <v>169</v>
      </c>
      <c r="D34" s="45" t="s">
        <v>170</v>
      </c>
      <c r="E34" s="45" t="s">
        <v>171</v>
      </c>
      <c r="F34" s="45" t="s">
        <v>172</v>
      </c>
      <c r="G34" s="45" t="s">
        <v>173</v>
      </c>
    </row>
    <row r="35" customFormat="false" ht="23.85" hidden="false" customHeight="false" outlineLevel="0" collapsed="false">
      <c r="A35" s="15" t="s">
        <v>174</v>
      </c>
      <c r="B35" s="16" t="s">
        <v>157</v>
      </c>
      <c r="C35" s="41" t="s">
        <v>54</v>
      </c>
      <c r="D35" s="46" t="n">
        <v>7.61</v>
      </c>
      <c r="E35" s="46" t="n">
        <v>1.92</v>
      </c>
      <c r="F35" s="16" t="s">
        <v>175</v>
      </c>
      <c r="G35" s="16"/>
    </row>
    <row r="36" customFormat="false" ht="15" hidden="false" customHeight="false" outlineLevel="0" collapsed="false">
      <c r="A36" s="15" t="s">
        <v>176</v>
      </c>
      <c r="B36" s="16" t="s">
        <v>177</v>
      </c>
      <c r="C36" s="47" t="s">
        <v>54</v>
      </c>
      <c r="D36" s="46" t="n">
        <v>6.46</v>
      </c>
      <c r="E36" s="46" t="n">
        <v>2.26</v>
      </c>
      <c r="F36" s="16" t="s">
        <v>178</v>
      </c>
      <c r="G36" s="16"/>
    </row>
    <row r="37" customFormat="false" ht="15" hidden="false" customHeight="false" outlineLevel="0" collapsed="false">
      <c r="A37" s="15" t="s">
        <v>179</v>
      </c>
      <c r="B37" s="16" t="s">
        <v>180</v>
      </c>
      <c r="C37" s="48" t="s">
        <v>54</v>
      </c>
      <c r="D37" s="46" t="n">
        <v>5.69</v>
      </c>
      <c r="E37" s="46" t="n">
        <v>2.57</v>
      </c>
      <c r="F37" s="16" t="s">
        <v>181</v>
      </c>
      <c r="G37" s="16" t="s">
        <v>182</v>
      </c>
    </row>
    <row r="38" customFormat="false" ht="15" hidden="false" customHeight="false" outlineLevel="0" collapsed="false">
      <c r="A38" s="15" t="s">
        <v>183</v>
      </c>
      <c r="B38" s="16" t="s">
        <v>162</v>
      </c>
      <c r="C38" s="43" t="s">
        <v>54</v>
      </c>
      <c r="D38" s="46" t="n">
        <v>5.29</v>
      </c>
      <c r="E38" s="46" t="n">
        <v>2.77</v>
      </c>
      <c r="F38" s="16" t="s">
        <v>184</v>
      </c>
      <c r="G38" s="16"/>
    </row>
    <row r="39" customFormat="false" ht="15" hidden="false" customHeight="false" outlineLevel="0" collapsed="false">
      <c r="A39" s="15" t="s">
        <v>185</v>
      </c>
      <c r="B39" s="16" t="s">
        <v>186</v>
      </c>
      <c r="C39" s="49" t="s">
        <v>54</v>
      </c>
      <c r="D39" s="46" t="n">
        <v>6.83</v>
      </c>
      <c r="E39" s="46" t="n">
        <v>2.14</v>
      </c>
      <c r="F39" s="16" t="s">
        <v>187</v>
      </c>
      <c r="G39" s="16"/>
    </row>
    <row r="40" customFormat="false" ht="15" hidden="false" customHeight="false" outlineLevel="0" collapsed="false">
      <c r="A40" s="15" t="s">
        <v>188</v>
      </c>
      <c r="B40" s="16" t="s">
        <v>104</v>
      </c>
      <c r="C40" s="31" t="s">
        <v>54</v>
      </c>
      <c r="D40" s="46" t="n">
        <v>8.09</v>
      </c>
      <c r="E40" s="46" t="n">
        <v>1.81</v>
      </c>
      <c r="F40" s="16" t="s">
        <v>189</v>
      </c>
      <c r="G40" s="16"/>
    </row>
    <row r="41" customFormat="false" ht="15" hidden="false" customHeight="false" outlineLevel="0" collapsed="false">
      <c r="A41" s="15" t="s">
        <v>190</v>
      </c>
      <c r="B41" s="16" t="s">
        <v>191</v>
      </c>
      <c r="C41" s="50" t="s">
        <v>54</v>
      </c>
      <c r="D41" s="46" t="n">
        <v>5.38</v>
      </c>
      <c r="E41" s="46" t="n">
        <v>2.72</v>
      </c>
      <c r="F41" s="16" t="s">
        <v>192</v>
      </c>
      <c r="G41" s="16"/>
    </row>
    <row r="42" customFormat="false" ht="15" hidden="false" customHeight="false" outlineLevel="0" collapsed="false">
      <c r="A42" s="15" t="s">
        <v>193</v>
      </c>
      <c r="B42" s="16" t="s">
        <v>194</v>
      </c>
      <c r="C42" s="51" t="s">
        <v>54</v>
      </c>
      <c r="D42" s="46" t="n">
        <v>6.85</v>
      </c>
      <c r="E42" s="46" t="n">
        <v>2.14</v>
      </c>
      <c r="F42" s="16" t="s">
        <v>195</v>
      </c>
      <c r="G42" s="16"/>
    </row>
    <row r="43" customFormat="false" ht="15" hidden="false" customHeight="false" outlineLevel="0" collapsed="false">
      <c r="A43" s="15" t="s">
        <v>196</v>
      </c>
      <c r="B43" s="16" t="s">
        <v>197</v>
      </c>
      <c r="C43" s="52" t="s">
        <v>54</v>
      </c>
      <c r="D43" s="46" t="n">
        <v>3.89</v>
      </c>
      <c r="E43" s="46" t="n">
        <v>3.76</v>
      </c>
      <c r="F43" s="16" t="s">
        <v>198</v>
      </c>
      <c r="G43" s="16"/>
    </row>
    <row r="44" customFormat="false" ht="15" hidden="false" customHeight="false" outlineLevel="0" collapsed="false">
      <c r="A44" s="15" t="s">
        <v>199</v>
      </c>
      <c r="B44" s="16" t="s">
        <v>200</v>
      </c>
      <c r="C44" s="53" t="s">
        <v>54</v>
      </c>
      <c r="D44" s="46" t="n">
        <v>6.42</v>
      </c>
      <c r="E44" s="46" t="n">
        <v>2.28</v>
      </c>
      <c r="F44" s="16" t="s">
        <v>201</v>
      </c>
      <c r="G44" s="16"/>
    </row>
    <row r="45" customFormat="false" ht="15" hidden="false" customHeight="false" outlineLevel="0" collapsed="false">
      <c r="A45" s="15" t="s">
        <v>202</v>
      </c>
      <c r="B45" s="16" t="s">
        <v>203</v>
      </c>
      <c r="C45" s="54" t="s">
        <v>54</v>
      </c>
      <c r="D45" s="46" t="n">
        <v>3.88</v>
      </c>
      <c r="E45" s="46" t="n">
        <v>3.77</v>
      </c>
      <c r="F45" s="16" t="s">
        <v>204</v>
      </c>
      <c r="G45" s="16"/>
    </row>
    <row r="46" customFormat="false" ht="15" hidden="false" customHeight="false" outlineLevel="0" collapsed="false">
      <c r="A46" s="15" t="s">
        <v>205</v>
      </c>
      <c r="B46" s="16" t="s">
        <v>206</v>
      </c>
      <c r="C46" s="55" t="s">
        <v>54</v>
      </c>
      <c r="D46" s="46" t="n">
        <v>4.59</v>
      </c>
      <c r="E46" s="46" t="n">
        <v>3.19</v>
      </c>
      <c r="F46" s="16" t="s">
        <v>207</v>
      </c>
      <c r="G46" s="16"/>
    </row>
    <row r="48" customFormat="false" ht="15" hidden="false" customHeight="false" outlineLevel="0" collapsed="false">
      <c r="A48" s="2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52"/>
    <col collapsed="false" customWidth="true" hidden="false" outlineLevel="0" max="5" min="5" style="0" width="34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19.7" hidden="false" customHeight="false" outlineLevel="0" collapsed="false">
      <c r="A1" s="1" t="s">
        <v>209</v>
      </c>
    </row>
    <row r="2" customFormat="false" ht="15" hidden="false" customHeight="false" outlineLevel="0" collapsed="false">
      <c r="A2" s="2" t="s">
        <v>210</v>
      </c>
    </row>
    <row r="4" customFormat="false" ht="31.5" hidden="false" customHeight="true" outlineLevel="0" collapsed="false">
      <c r="A4" s="5" t="s">
        <v>211</v>
      </c>
      <c r="B4" s="5" t="s">
        <v>212</v>
      </c>
      <c r="C4" s="5" t="s">
        <v>213</v>
      </c>
      <c r="D4" s="5" t="s">
        <v>214</v>
      </c>
      <c r="E4" s="5" t="s">
        <v>215</v>
      </c>
      <c r="F4" s="5" t="s">
        <v>47</v>
      </c>
      <c r="G4" s="5" t="s">
        <v>49</v>
      </c>
      <c r="H4" s="5" t="s">
        <v>216</v>
      </c>
      <c r="I4" s="5" t="s">
        <v>217</v>
      </c>
    </row>
    <row r="5" customFormat="false" ht="23.85" hidden="false" customHeight="false" outlineLevel="0" collapsed="false">
      <c r="A5" s="15" t="s">
        <v>218</v>
      </c>
      <c r="B5" s="56" t="s">
        <v>54</v>
      </c>
      <c r="C5" s="7" t="n">
        <v>9</v>
      </c>
      <c r="D5" s="16" t="s">
        <v>219</v>
      </c>
      <c r="E5" s="16" t="s">
        <v>145</v>
      </c>
      <c r="F5" s="31" t="s">
        <v>104</v>
      </c>
      <c r="G5" s="32" t="s">
        <v>105</v>
      </c>
      <c r="H5" s="16" t="s">
        <v>6</v>
      </c>
      <c r="I5" s="16" t="s">
        <v>220</v>
      </c>
    </row>
    <row r="6" customFormat="false" ht="15" hidden="false" customHeight="false" outlineLevel="0" collapsed="false">
      <c r="A6" s="15" t="s">
        <v>221</v>
      </c>
      <c r="B6" s="57" t="s">
        <v>54</v>
      </c>
      <c r="C6" s="7" t="n">
        <v>4</v>
      </c>
      <c r="D6" s="16" t="s">
        <v>222</v>
      </c>
      <c r="E6" s="16" t="s">
        <v>223</v>
      </c>
      <c r="F6" s="41" t="s">
        <v>157</v>
      </c>
      <c r="G6" s="41" t="s">
        <v>157</v>
      </c>
      <c r="H6" s="16" t="s">
        <v>6</v>
      </c>
      <c r="I6" s="16" t="s">
        <v>220</v>
      </c>
    </row>
    <row r="7" customFormat="false" ht="15" hidden="false" customHeight="false" outlineLevel="0" collapsed="false">
      <c r="A7" s="15" t="s">
        <v>224</v>
      </c>
      <c r="B7" s="58" t="s">
        <v>54</v>
      </c>
      <c r="C7" s="7" t="n">
        <v>1</v>
      </c>
      <c r="D7" s="16" t="s">
        <v>225</v>
      </c>
      <c r="E7" s="16" t="s">
        <v>226</v>
      </c>
      <c r="F7" s="18" t="s">
        <v>59</v>
      </c>
      <c r="G7" s="19" t="s">
        <v>60</v>
      </c>
      <c r="H7" s="16" t="s">
        <v>6</v>
      </c>
      <c r="I7" s="16" t="s">
        <v>220</v>
      </c>
    </row>
    <row r="8" customFormat="false" ht="15" hidden="false" customHeight="false" outlineLevel="0" collapsed="false">
      <c r="A8" s="15" t="s">
        <v>70</v>
      </c>
      <c r="B8" s="21" t="s">
        <v>54</v>
      </c>
      <c r="C8" s="7" t="n">
        <v>21</v>
      </c>
      <c r="D8" s="16" t="s">
        <v>227</v>
      </c>
      <c r="E8" s="16" t="s">
        <v>228</v>
      </c>
      <c r="F8" s="20" t="s">
        <v>69</v>
      </c>
      <c r="G8" s="21" t="s">
        <v>70</v>
      </c>
      <c r="H8" s="16" t="s">
        <v>6</v>
      </c>
      <c r="I8" s="16" t="s">
        <v>220</v>
      </c>
    </row>
    <row r="9" customFormat="false" ht="15" hidden="false" customHeight="false" outlineLevel="0" collapsed="false">
      <c r="A9" s="15" t="s">
        <v>229</v>
      </c>
      <c r="B9" s="59" t="s">
        <v>54</v>
      </c>
      <c r="C9" s="7" t="n">
        <v>2</v>
      </c>
      <c r="D9" s="16" t="s">
        <v>230</v>
      </c>
      <c r="E9" s="16" t="s">
        <v>231</v>
      </c>
      <c r="F9" s="33" t="s">
        <v>109</v>
      </c>
      <c r="G9" s="18" t="s">
        <v>59</v>
      </c>
      <c r="H9" s="16" t="s">
        <v>6</v>
      </c>
      <c r="I9" s="16" t="s">
        <v>220</v>
      </c>
    </row>
    <row r="10" customFormat="false" ht="15" hidden="false" customHeight="false" outlineLevel="0" collapsed="false">
      <c r="A10" s="15" t="s">
        <v>69</v>
      </c>
      <c r="B10" s="20" t="s">
        <v>54</v>
      </c>
      <c r="C10" s="7" t="n">
        <v>12</v>
      </c>
      <c r="D10" s="16" t="s">
        <v>232</v>
      </c>
      <c r="E10" s="16" t="s">
        <v>233</v>
      </c>
      <c r="F10" s="23" t="s">
        <v>75</v>
      </c>
      <c r="G10" s="18" t="s">
        <v>59</v>
      </c>
      <c r="H10" s="16" t="s">
        <v>6</v>
      </c>
      <c r="I10" s="16" t="s">
        <v>220</v>
      </c>
    </row>
    <row r="11" customFormat="false" ht="15" hidden="false" customHeight="false" outlineLevel="0" collapsed="false">
      <c r="A11" s="15" t="s">
        <v>114</v>
      </c>
      <c r="B11" s="35" t="s">
        <v>54</v>
      </c>
      <c r="C11" s="7" t="n">
        <v>13</v>
      </c>
      <c r="D11" s="16" t="s">
        <v>234</v>
      </c>
      <c r="E11" s="16" t="s">
        <v>235</v>
      </c>
      <c r="F11" s="34" t="s">
        <v>113</v>
      </c>
      <c r="G11" s="35" t="s">
        <v>114</v>
      </c>
      <c r="H11" s="16" t="s">
        <v>7</v>
      </c>
      <c r="I11" s="16" t="s">
        <v>220</v>
      </c>
    </row>
    <row r="12" customFormat="false" ht="15" hidden="false" customHeight="false" outlineLevel="0" collapsed="false">
      <c r="A12" s="15" t="s">
        <v>127</v>
      </c>
      <c r="B12" s="36" t="s">
        <v>54</v>
      </c>
      <c r="C12" s="7" t="n">
        <v>1</v>
      </c>
      <c r="D12" s="16" t="s">
        <v>236</v>
      </c>
      <c r="E12" s="16" t="s">
        <v>237</v>
      </c>
      <c r="F12" s="29" t="s">
        <v>96</v>
      </c>
      <c r="G12" s="28" t="s">
        <v>95</v>
      </c>
      <c r="H12" s="16" t="s">
        <v>7</v>
      </c>
      <c r="I12" s="16" t="s">
        <v>220</v>
      </c>
    </row>
    <row r="13" customFormat="false" ht="15" hidden="false" customHeight="false" outlineLevel="0" collapsed="false">
      <c r="A13" s="15" t="s">
        <v>75</v>
      </c>
      <c r="B13" s="23" t="s">
        <v>54</v>
      </c>
      <c r="C13" s="7" t="n">
        <v>4</v>
      </c>
      <c r="D13" s="16" t="s">
        <v>238</v>
      </c>
      <c r="E13" s="16" t="s">
        <v>239</v>
      </c>
      <c r="F13" s="28" t="s">
        <v>95</v>
      </c>
      <c r="G13" s="29" t="s">
        <v>96</v>
      </c>
      <c r="H13" s="16" t="s">
        <v>7</v>
      </c>
      <c r="I13" s="16" t="s">
        <v>220</v>
      </c>
    </row>
    <row r="14" customFormat="false" ht="15" hidden="false" customHeight="false" outlineLevel="0" collapsed="false">
      <c r="A14" s="15" t="s">
        <v>96</v>
      </c>
      <c r="B14" s="29" t="s">
        <v>54</v>
      </c>
      <c r="C14" s="7" t="n">
        <v>1</v>
      </c>
      <c r="D14" s="16" t="s">
        <v>240</v>
      </c>
      <c r="E14" s="16" t="s">
        <v>239</v>
      </c>
      <c r="F14" s="28" t="s">
        <v>95</v>
      </c>
      <c r="G14" s="29" t="s">
        <v>96</v>
      </c>
      <c r="H14" s="16" t="s">
        <v>8</v>
      </c>
      <c r="I14" s="16" t="s">
        <v>220</v>
      </c>
    </row>
    <row r="15" customFormat="false" ht="15" hidden="false" customHeight="false" outlineLevel="0" collapsed="false">
      <c r="A15" s="15" t="s">
        <v>241</v>
      </c>
      <c r="B15" s="29" t="s">
        <v>54</v>
      </c>
      <c r="C15" s="7" t="n">
        <v>2</v>
      </c>
      <c r="D15" s="16" t="s">
        <v>242</v>
      </c>
      <c r="E15" s="16" t="s">
        <v>239</v>
      </c>
      <c r="F15" s="28" t="s">
        <v>95</v>
      </c>
      <c r="G15" s="29" t="s">
        <v>96</v>
      </c>
      <c r="H15" s="16" t="s">
        <v>7</v>
      </c>
      <c r="I15" s="16" t="s">
        <v>220</v>
      </c>
    </row>
    <row r="16" customFormat="false" ht="15" hidden="false" customHeight="false" outlineLevel="0" collapsed="false">
      <c r="A16" s="15" t="s">
        <v>243</v>
      </c>
      <c r="B16" s="60" t="s">
        <v>54</v>
      </c>
      <c r="C16" s="7" t="n">
        <v>1</v>
      </c>
      <c r="D16" s="16" t="s">
        <v>244</v>
      </c>
      <c r="E16" s="16" t="s">
        <v>228</v>
      </c>
      <c r="F16" s="20" t="s">
        <v>69</v>
      </c>
      <c r="G16" s="21" t="s">
        <v>70</v>
      </c>
      <c r="H16" s="16" t="s">
        <v>7</v>
      </c>
      <c r="I16" s="16" t="s">
        <v>220</v>
      </c>
    </row>
    <row r="17" customFormat="false" ht="15" hidden="false" customHeight="false" outlineLevel="0" collapsed="false">
      <c r="A17" s="15" t="s">
        <v>109</v>
      </c>
      <c r="B17" s="33" t="s">
        <v>54</v>
      </c>
      <c r="C17" s="7" t="n">
        <v>1</v>
      </c>
      <c r="D17" s="16" t="s">
        <v>245</v>
      </c>
      <c r="E17" s="16" t="s">
        <v>226</v>
      </c>
      <c r="F17" s="18" t="s">
        <v>59</v>
      </c>
      <c r="G17" s="19" t="s">
        <v>60</v>
      </c>
      <c r="H17" s="16" t="s">
        <v>7</v>
      </c>
      <c r="I17" s="16" t="s">
        <v>220</v>
      </c>
    </row>
    <row r="18" customFormat="false" ht="15" hidden="false" customHeight="false" outlineLevel="0" collapsed="false">
      <c r="A18" s="15" t="s">
        <v>246</v>
      </c>
      <c r="B18" s="36" t="s">
        <v>54</v>
      </c>
      <c r="C18" s="7" t="n">
        <v>1</v>
      </c>
      <c r="D18" s="16" t="s">
        <v>247</v>
      </c>
      <c r="E18" s="16" t="s">
        <v>235</v>
      </c>
      <c r="F18" s="34" t="s">
        <v>113</v>
      </c>
      <c r="G18" s="35" t="s">
        <v>114</v>
      </c>
      <c r="H18" s="16" t="s">
        <v>8</v>
      </c>
      <c r="I18" s="16" t="s">
        <v>220</v>
      </c>
    </row>
    <row r="19" customFormat="false" ht="15" hidden="false" customHeight="false" outlineLevel="0" collapsed="false">
      <c r="A19" s="15" t="s">
        <v>248</v>
      </c>
      <c r="B19" s="61" t="s">
        <v>54</v>
      </c>
      <c r="C19" s="7" t="n">
        <v>2</v>
      </c>
      <c r="D19" s="16" t="s">
        <v>249</v>
      </c>
      <c r="E19" s="16" t="s">
        <v>239</v>
      </c>
      <c r="F19" s="28" t="s">
        <v>95</v>
      </c>
      <c r="G19" s="29" t="s">
        <v>96</v>
      </c>
      <c r="H19" s="16" t="s">
        <v>8</v>
      </c>
      <c r="I19" s="16" t="s">
        <v>220</v>
      </c>
    </row>
    <row r="20" customFormat="false" ht="23.85" hidden="false" customHeight="false" outlineLevel="0" collapsed="false">
      <c r="A20" s="15" t="s">
        <v>250</v>
      </c>
      <c r="B20" s="62" t="s">
        <v>54</v>
      </c>
      <c r="C20" s="7" t="n">
        <v>7</v>
      </c>
      <c r="D20" s="16" t="s">
        <v>251</v>
      </c>
      <c r="E20" s="16" t="s">
        <v>252</v>
      </c>
      <c r="F20" s="41" t="s">
        <v>157</v>
      </c>
      <c r="G20" s="41" t="s">
        <v>157</v>
      </c>
      <c r="H20" s="16" t="s">
        <v>6</v>
      </c>
      <c r="I20" s="16" t="s">
        <v>220</v>
      </c>
    </row>
    <row r="21" customFormat="false" ht="15" hidden="false" customHeight="false" outlineLevel="0" collapsed="false">
      <c r="A21" s="15" t="s">
        <v>253</v>
      </c>
      <c r="B21" s="63" t="s">
        <v>54</v>
      </c>
      <c r="C21" s="7" t="n">
        <v>6</v>
      </c>
      <c r="D21" s="16" t="s">
        <v>254</v>
      </c>
      <c r="E21" s="16" t="s">
        <v>255</v>
      </c>
      <c r="F21" s="20" t="s">
        <v>69</v>
      </c>
      <c r="G21" s="21" t="s">
        <v>70</v>
      </c>
      <c r="H21" s="16" t="s">
        <v>6</v>
      </c>
      <c r="I21" s="16" t="s">
        <v>220</v>
      </c>
    </row>
    <row r="22" customFormat="false" ht="15" hidden="false" customHeight="false" outlineLevel="0" collapsed="false">
      <c r="A22" s="15" t="s">
        <v>256</v>
      </c>
      <c r="B22" s="64" t="s">
        <v>54</v>
      </c>
      <c r="C22" s="7" t="n">
        <v>3</v>
      </c>
      <c r="D22" s="16" t="s">
        <v>257</v>
      </c>
      <c r="E22" s="16" t="s">
        <v>157</v>
      </c>
      <c r="F22" s="41" t="s">
        <v>157</v>
      </c>
      <c r="G22" s="41" t="s">
        <v>157</v>
      </c>
      <c r="H22" s="16" t="s">
        <v>6</v>
      </c>
      <c r="I22" s="16" t="s">
        <v>220</v>
      </c>
    </row>
    <row r="23" customFormat="false" ht="15" hidden="false" customHeight="false" outlineLevel="0" collapsed="false">
      <c r="A23" s="15" t="s">
        <v>258</v>
      </c>
      <c r="B23" s="65" t="s">
        <v>54</v>
      </c>
      <c r="C23" s="7" t="n">
        <v>9</v>
      </c>
      <c r="D23" s="16" t="s">
        <v>259</v>
      </c>
      <c r="E23" s="16" t="s">
        <v>260</v>
      </c>
      <c r="F23" s="47" t="s">
        <v>177</v>
      </c>
      <c r="G23" s="47" t="s">
        <v>177</v>
      </c>
      <c r="H23" s="16" t="s">
        <v>6</v>
      </c>
      <c r="I23" s="16" t="s">
        <v>220</v>
      </c>
    </row>
    <row r="24" customFormat="false" ht="15" hidden="false" customHeight="false" outlineLevel="0" collapsed="false">
      <c r="A24" s="15" t="s">
        <v>261</v>
      </c>
      <c r="B24" s="66" t="s">
        <v>54</v>
      </c>
      <c r="C24" s="7" t="n">
        <v>8</v>
      </c>
      <c r="D24" s="16" t="s">
        <v>262</v>
      </c>
      <c r="E24" s="16" t="s">
        <v>263</v>
      </c>
      <c r="F24" s="20" t="s">
        <v>69</v>
      </c>
      <c r="G24" s="21" t="s">
        <v>70</v>
      </c>
      <c r="H24" s="16" t="s">
        <v>6</v>
      </c>
      <c r="I24" s="16" t="s">
        <v>220</v>
      </c>
    </row>
    <row r="25" customFormat="false" ht="15" hidden="false" customHeight="false" outlineLevel="0" collapsed="false">
      <c r="A25" s="15" t="s">
        <v>264</v>
      </c>
      <c r="B25" s="67" t="s">
        <v>54</v>
      </c>
      <c r="C25" s="7" t="n">
        <v>4</v>
      </c>
      <c r="D25" s="16" t="s">
        <v>265</v>
      </c>
      <c r="E25" s="16" t="s">
        <v>177</v>
      </c>
      <c r="F25" s="47" t="s">
        <v>177</v>
      </c>
      <c r="G25" s="47" t="s">
        <v>177</v>
      </c>
      <c r="H25" s="16" t="s">
        <v>6</v>
      </c>
      <c r="I25" s="16" t="s">
        <v>220</v>
      </c>
    </row>
    <row r="26" customFormat="false" ht="23.85" hidden="false" customHeight="false" outlineLevel="0" collapsed="false">
      <c r="A26" s="15" t="s">
        <v>165</v>
      </c>
      <c r="B26" s="68" t="s">
        <v>54</v>
      </c>
      <c r="C26" s="7" t="n">
        <v>14</v>
      </c>
      <c r="D26" s="16" t="s">
        <v>266</v>
      </c>
      <c r="E26" s="16" t="s">
        <v>267</v>
      </c>
      <c r="F26" s="43" t="s">
        <v>162</v>
      </c>
      <c r="G26" s="44" t="s">
        <v>163</v>
      </c>
      <c r="H26" s="16" t="s">
        <v>6</v>
      </c>
      <c r="I26" s="16" t="s">
        <v>220</v>
      </c>
    </row>
    <row r="27" customFormat="false" ht="15" hidden="false" customHeight="false" outlineLevel="0" collapsed="false">
      <c r="A27" s="15" t="s">
        <v>268</v>
      </c>
      <c r="B27" s="69" t="s">
        <v>54</v>
      </c>
      <c r="C27" s="7" t="n">
        <v>7</v>
      </c>
      <c r="D27" s="16" t="s">
        <v>269</v>
      </c>
      <c r="E27" s="16" t="s">
        <v>263</v>
      </c>
      <c r="F27" s="20" t="s">
        <v>69</v>
      </c>
      <c r="G27" s="21" t="s">
        <v>70</v>
      </c>
      <c r="H27" s="16" t="s">
        <v>6</v>
      </c>
      <c r="I27" s="16" t="s">
        <v>220</v>
      </c>
    </row>
    <row r="28" customFormat="false" ht="15" hidden="false" customHeight="false" outlineLevel="0" collapsed="false">
      <c r="A28" s="15" t="s">
        <v>270</v>
      </c>
      <c r="B28" s="70" t="s">
        <v>54</v>
      </c>
      <c r="C28" s="7" t="n">
        <v>5</v>
      </c>
      <c r="D28" s="16" t="s">
        <v>271</v>
      </c>
      <c r="E28" s="16" t="s">
        <v>162</v>
      </c>
      <c r="F28" s="43" t="s">
        <v>162</v>
      </c>
      <c r="G28" s="43" t="s">
        <v>162</v>
      </c>
      <c r="H28" s="16" t="s">
        <v>6</v>
      </c>
      <c r="I28" s="16" t="s">
        <v>220</v>
      </c>
    </row>
    <row r="29" customFormat="false" ht="15" hidden="false" customHeight="false" outlineLevel="0" collapsed="false">
      <c r="A29" s="15" t="s">
        <v>272</v>
      </c>
      <c r="B29" s="71" t="s">
        <v>54</v>
      </c>
      <c r="C29" s="7" t="n">
        <v>1</v>
      </c>
      <c r="D29" s="16" t="s">
        <v>273</v>
      </c>
      <c r="E29" s="16" t="s">
        <v>274</v>
      </c>
      <c r="F29" s="41" t="s">
        <v>157</v>
      </c>
      <c r="G29" s="41" t="s">
        <v>157</v>
      </c>
      <c r="H29" s="16" t="s">
        <v>6</v>
      </c>
      <c r="I29" s="16" t="s">
        <v>220</v>
      </c>
    </row>
    <row r="30" customFormat="false" ht="15" hidden="false" customHeight="false" outlineLevel="0" collapsed="false">
      <c r="A30" s="15" t="s">
        <v>275</v>
      </c>
      <c r="B30" s="72" t="s">
        <v>54</v>
      </c>
      <c r="C30" s="7" t="n">
        <v>1</v>
      </c>
      <c r="D30" s="16" t="s">
        <v>276</v>
      </c>
      <c r="E30" s="16" t="s">
        <v>263</v>
      </c>
      <c r="F30" s="20" t="s">
        <v>69</v>
      </c>
      <c r="G30" s="21" t="s">
        <v>70</v>
      </c>
      <c r="H30" s="16" t="s">
        <v>6</v>
      </c>
      <c r="I30" s="16" t="s">
        <v>220</v>
      </c>
    </row>
    <row r="31" customFormat="false" ht="15" hidden="false" customHeight="false" outlineLevel="0" collapsed="false">
      <c r="A31" s="15" t="s">
        <v>277</v>
      </c>
      <c r="B31" s="73" t="s">
        <v>54</v>
      </c>
      <c r="C31" s="7" t="n">
        <v>1</v>
      </c>
      <c r="D31" s="16" t="s">
        <v>278</v>
      </c>
      <c r="E31" s="16" t="s">
        <v>274</v>
      </c>
      <c r="F31" s="41" t="s">
        <v>157</v>
      </c>
      <c r="G31" s="41" t="s">
        <v>157</v>
      </c>
      <c r="H31" s="16" t="s">
        <v>6</v>
      </c>
      <c r="I31" s="16" t="s">
        <v>220</v>
      </c>
    </row>
    <row r="32" customFormat="false" ht="15" hidden="false" customHeight="false" outlineLevel="0" collapsed="false">
      <c r="A32" s="15" t="s">
        <v>279</v>
      </c>
      <c r="B32" s="74" t="s">
        <v>54</v>
      </c>
      <c r="C32" s="7" t="n">
        <v>4</v>
      </c>
      <c r="D32" s="16" t="s">
        <v>280</v>
      </c>
      <c r="E32" s="16" t="s">
        <v>281</v>
      </c>
      <c r="F32" s="34" t="s">
        <v>113</v>
      </c>
      <c r="G32" s="35" t="s">
        <v>114</v>
      </c>
      <c r="H32" s="16" t="s">
        <v>7</v>
      </c>
      <c r="I32" s="16" t="s">
        <v>220</v>
      </c>
    </row>
    <row r="33" customFormat="false" ht="23.85" hidden="false" customHeight="false" outlineLevel="0" collapsed="false">
      <c r="A33" s="15" t="s">
        <v>180</v>
      </c>
      <c r="B33" s="48" t="s">
        <v>54</v>
      </c>
      <c r="C33" s="7" t="n">
        <v>6</v>
      </c>
      <c r="D33" s="16" t="s">
        <v>282</v>
      </c>
      <c r="E33" s="16" t="s">
        <v>283</v>
      </c>
      <c r="F33" s="47" t="s">
        <v>177</v>
      </c>
      <c r="G33" s="47" t="s">
        <v>177</v>
      </c>
      <c r="H33" s="16" t="s">
        <v>7</v>
      </c>
      <c r="I33" s="16" t="s">
        <v>220</v>
      </c>
    </row>
    <row r="34" customFormat="false" ht="15" hidden="false" customHeight="false" outlineLevel="0" collapsed="false">
      <c r="A34" s="15" t="s">
        <v>284</v>
      </c>
      <c r="B34" s="75" t="s">
        <v>54</v>
      </c>
      <c r="C34" s="7" t="n">
        <v>3</v>
      </c>
      <c r="D34" s="16" t="s">
        <v>285</v>
      </c>
      <c r="E34" s="16" t="s">
        <v>286</v>
      </c>
      <c r="F34" s="31" t="s">
        <v>104</v>
      </c>
      <c r="G34" s="32" t="s">
        <v>105</v>
      </c>
      <c r="H34" s="16" t="s">
        <v>7</v>
      </c>
      <c r="I34" s="16" t="s">
        <v>220</v>
      </c>
    </row>
    <row r="35" customFormat="false" ht="15" hidden="false" customHeight="false" outlineLevel="0" collapsed="false">
      <c r="A35" s="15" t="s">
        <v>287</v>
      </c>
      <c r="B35" s="76" t="s">
        <v>54</v>
      </c>
      <c r="C35" s="7" t="n">
        <v>3</v>
      </c>
      <c r="D35" s="16" t="s">
        <v>288</v>
      </c>
      <c r="E35" s="16" t="s">
        <v>289</v>
      </c>
      <c r="F35" s="49" t="s">
        <v>186</v>
      </c>
      <c r="G35" s="49" t="s">
        <v>186</v>
      </c>
      <c r="H35" s="16" t="s">
        <v>7</v>
      </c>
      <c r="I35" s="16" t="s">
        <v>220</v>
      </c>
    </row>
    <row r="36" customFormat="false" ht="15" hidden="false" customHeight="false" outlineLevel="0" collapsed="false">
      <c r="A36" s="15" t="s">
        <v>290</v>
      </c>
      <c r="B36" s="77" t="s">
        <v>54</v>
      </c>
      <c r="C36" s="7" t="n">
        <v>1</v>
      </c>
      <c r="D36" s="16" t="s">
        <v>291</v>
      </c>
      <c r="E36" s="16" t="s">
        <v>292</v>
      </c>
      <c r="F36" s="49" t="s">
        <v>186</v>
      </c>
      <c r="G36" s="49" t="s">
        <v>186</v>
      </c>
      <c r="H36" s="16" t="s">
        <v>7</v>
      </c>
      <c r="I36" s="16" t="s">
        <v>220</v>
      </c>
    </row>
    <row r="37" customFormat="false" ht="15" hidden="false" customHeight="false" outlineLevel="0" collapsed="false">
      <c r="A37" s="15" t="s">
        <v>293</v>
      </c>
      <c r="B37" s="78" t="s">
        <v>54</v>
      </c>
      <c r="C37" s="7" t="n">
        <v>1</v>
      </c>
      <c r="D37" s="16" t="s">
        <v>294</v>
      </c>
      <c r="E37" s="16" t="s">
        <v>295</v>
      </c>
      <c r="F37" s="49" t="s">
        <v>186</v>
      </c>
      <c r="G37" s="49" t="s">
        <v>186</v>
      </c>
      <c r="H37" s="16" t="s">
        <v>7</v>
      </c>
      <c r="I37" s="16" t="s">
        <v>220</v>
      </c>
    </row>
    <row r="38" customFormat="false" ht="15" hidden="false" customHeight="false" outlineLevel="0" collapsed="false">
      <c r="A38" s="15" t="s">
        <v>296</v>
      </c>
      <c r="B38" s="79" t="s">
        <v>54</v>
      </c>
      <c r="C38" s="7" t="n">
        <v>3</v>
      </c>
      <c r="D38" s="16" t="s">
        <v>297</v>
      </c>
      <c r="E38" s="16" t="s">
        <v>298</v>
      </c>
      <c r="F38" s="31" t="s">
        <v>104</v>
      </c>
      <c r="G38" s="31" t="s">
        <v>104</v>
      </c>
      <c r="H38" s="16" t="s">
        <v>7</v>
      </c>
      <c r="I38" s="16" t="s">
        <v>220</v>
      </c>
    </row>
    <row r="39" customFormat="false" ht="15" hidden="false" customHeight="false" outlineLevel="0" collapsed="false">
      <c r="A39" s="15" t="s">
        <v>299</v>
      </c>
      <c r="B39" s="80" t="s">
        <v>54</v>
      </c>
      <c r="C39" s="7" t="n">
        <v>1</v>
      </c>
      <c r="D39" s="16" t="s">
        <v>300</v>
      </c>
      <c r="E39" s="16" t="s">
        <v>301</v>
      </c>
      <c r="F39" s="47" t="s">
        <v>177</v>
      </c>
      <c r="G39" s="47" t="s">
        <v>177</v>
      </c>
      <c r="H39" s="16" t="s">
        <v>8</v>
      </c>
      <c r="I39" s="16" t="s">
        <v>220</v>
      </c>
    </row>
    <row r="40" customFormat="false" ht="15" hidden="false" customHeight="false" outlineLevel="0" collapsed="false">
      <c r="A40" s="15" t="s">
        <v>302</v>
      </c>
      <c r="B40" s="81" t="s">
        <v>54</v>
      </c>
      <c r="C40" s="7" t="n">
        <v>1</v>
      </c>
      <c r="D40" s="16" t="s">
        <v>303</v>
      </c>
      <c r="E40" s="16" t="s">
        <v>304</v>
      </c>
      <c r="F40" s="50" t="s">
        <v>191</v>
      </c>
      <c r="G40" s="50" t="s">
        <v>191</v>
      </c>
      <c r="H40" s="16" t="s">
        <v>8</v>
      </c>
      <c r="I40" s="16" t="s">
        <v>220</v>
      </c>
    </row>
    <row r="41" customFormat="false" ht="15" hidden="false" customHeight="false" outlineLevel="0" collapsed="false">
      <c r="A41" s="15" t="s">
        <v>305</v>
      </c>
      <c r="B41" s="82" t="s">
        <v>54</v>
      </c>
      <c r="C41" s="7" t="n">
        <v>1</v>
      </c>
      <c r="D41" s="16" t="s">
        <v>303</v>
      </c>
      <c r="E41" s="16" t="s">
        <v>304</v>
      </c>
      <c r="F41" s="83" t="s">
        <v>306</v>
      </c>
      <c r="G41" s="83" t="s">
        <v>306</v>
      </c>
      <c r="H41" s="16" t="s">
        <v>8</v>
      </c>
      <c r="I41" s="16" t="s">
        <v>220</v>
      </c>
    </row>
    <row r="42" customFormat="false" ht="15" hidden="false" customHeight="false" outlineLevel="0" collapsed="false">
      <c r="A42" s="15" t="s">
        <v>307</v>
      </c>
      <c r="B42" s="21" t="s">
        <v>54</v>
      </c>
      <c r="C42" s="7" t="n">
        <v>1</v>
      </c>
      <c r="D42" s="16" t="s">
        <v>308</v>
      </c>
      <c r="E42" s="16" t="s">
        <v>309</v>
      </c>
      <c r="F42" s="18" t="s">
        <v>59</v>
      </c>
      <c r="G42" s="18" t="s">
        <v>59</v>
      </c>
      <c r="H42" s="16" t="s">
        <v>8</v>
      </c>
      <c r="I42" s="16" t="s">
        <v>220</v>
      </c>
    </row>
    <row r="43" customFormat="false" ht="15" hidden="false" customHeight="false" outlineLevel="0" collapsed="false">
      <c r="A43" s="15" t="s">
        <v>310</v>
      </c>
      <c r="B43" s="84" t="s">
        <v>54</v>
      </c>
      <c r="C43" s="7" t="n">
        <v>2</v>
      </c>
      <c r="D43" s="16" t="s">
        <v>311</v>
      </c>
      <c r="E43" s="16" t="s">
        <v>312</v>
      </c>
      <c r="F43" s="85" t="s">
        <v>313</v>
      </c>
      <c r="G43" s="86" t="s">
        <v>313</v>
      </c>
      <c r="H43" s="16" t="s">
        <v>7</v>
      </c>
      <c r="I43" s="16" t="s">
        <v>220</v>
      </c>
    </row>
    <row r="44" customFormat="false" ht="15" hidden="false" customHeight="false" outlineLevel="0" collapsed="false">
      <c r="A44" s="15" t="s">
        <v>314</v>
      </c>
      <c r="B44" s="87" t="s">
        <v>54</v>
      </c>
      <c r="C44" s="7" t="n">
        <v>1</v>
      </c>
      <c r="D44" s="16" t="s">
        <v>315</v>
      </c>
      <c r="E44" s="16" t="s">
        <v>312</v>
      </c>
      <c r="F44" s="85" t="s">
        <v>313</v>
      </c>
      <c r="G44" s="86" t="s">
        <v>313</v>
      </c>
      <c r="H44" s="16" t="s">
        <v>7</v>
      </c>
      <c r="I44" s="16" t="s">
        <v>220</v>
      </c>
    </row>
    <row r="45" customFormat="false" ht="15" hidden="false" customHeight="false" outlineLevel="0" collapsed="false">
      <c r="A45" s="15" t="s">
        <v>316</v>
      </c>
      <c r="B45" s="88" t="s">
        <v>54</v>
      </c>
      <c r="C45" s="7" t="n">
        <v>1</v>
      </c>
      <c r="D45" s="16" t="s">
        <v>317</v>
      </c>
      <c r="E45" s="16" t="s">
        <v>312</v>
      </c>
      <c r="F45" s="85" t="s">
        <v>313</v>
      </c>
      <c r="G45" s="86" t="s">
        <v>313</v>
      </c>
      <c r="H45" s="16" t="s">
        <v>7</v>
      </c>
      <c r="I45" s="16" t="s">
        <v>220</v>
      </c>
    </row>
    <row r="46" customFormat="false" ht="15" hidden="false" customHeight="false" outlineLevel="0" collapsed="false">
      <c r="A46" s="15" t="s">
        <v>318</v>
      </c>
      <c r="B46" s="89" t="s">
        <v>54</v>
      </c>
      <c r="C46" s="7" t="n">
        <v>1</v>
      </c>
      <c r="D46" s="16" t="s">
        <v>66</v>
      </c>
      <c r="E46" s="16" t="s">
        <v>319</v>
      </c>
      <c r="F46" s="16"/>
      <c r="G46" s="16"/>
      <c r="H46" s="16" t="s">
        <v>7</v>
      </c>
      <c r="I46" s="16" t="s">
        <v>220</v>
      </c>
    </row>
  </sheetData>
  <autoFilter ref="A4:I46"/>
  <conditionalFormatting sqref="H5:H46">
    <cfRule type="cellIs" priority="2" operator="equal" aboveAverage="0" equalAverage="0" bottom="0" percent="0" rank="0" text="" dxfId="61">
      <formula>"Alta"</formula>
    </cfRule>
    <cfRule type="cellIs" priority="3" operator="equal" aboveAverage="0" equalAverage="0" bottom="0" percent="0" rank="0" text="" dxfId="62">
      <formula>"Média"</formula>
    </cfRule>
    <cfRule type="cellIs" priority="4" operator="equal" aboveAverage="0" equalAverage="0" bottom="0" percent="0" rank="0" text="" dxfId="63">
      <formula>"Baixa"</formula>
    </cfRule>
  </conditionalFormatting>
  <conditionalFormatting sqref="I5:I46">
    <cfRule type="cellIs" priority="5" operator="equal" aboveAverage="0" equalAverage="0" bottom="0" percent="0" rank="0" text="" dxfId="64">
      <formula>"Feito"</formula>
    </cfRule>
    <cfRule type="cellIs" priority="6" operator="equal" aboveAverage="0" equalAverage="0" bottom="0" percent="0" rank="0" text="" dxfId="65">
      <formula>"Em curso"</formula>
    </cfRule>
  </conditionalFormatting>
  <dataValidations count="2">
    <dataValidation allowBlank="true" errorStyle="stop" operator="between" showDropDown="false" showErrorMessage="false" showInputMessage="false" sqref="H5:H46" type="list">
      <formula1>"Alta,Média,Baixa"</formula1>
      <formula2>0</formula2>
    </dataValidation>
    <dataValidation allowBlank="true" errorStyle="stop" operator="between" showDropDown="false" showErrorMessage="false" showInputMessage="false" sqref="I5:I46" type="list">
      <formula1>"Por fazer,Em curso,Feito,Não aplicar"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5" min="4" style="0" width="22"/>
    <col collapsed="false" customWidth="true" hidden="false" outlineLevel="0" max="8" min="6" style="0" width="13"/>
    <col collapsed="false" customWidth="true" hidden="false" outlineLevel="0" max="9" min="9" style="0" width="18"/>
    <col collapsed="false" customWidth="true" hidden="false" outlineLevel="0" max="10" min="10" style="0" width="34"/>
    <col collapsed="false" customWidth="true" hidden="false" outlineLevel="0" max="11" min="11" style="0" width="28"/>
    <col collapsed="false" customWidth="true" hidden="false" outlineLevel="0" max="12" min="12" style="0" width="36"/>
    <col collapsed="false" customWidth="true" hidden="false" outlineLevel="0" max="13" min="13" style="0" width="30"/>
    <col collapsed="false" customWidth="true" hidden="false" outlineLevel="0" max="14" min="14" style="0" width="14"/>
    <col collapsed="false" customWidth="true" hidden="false" outlineLevel="0" max="15" min="15" style="0" width="46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8" min="18" style="0" width="12"/>
  </cols>
  <sheetData>
    <row r="1" customFormat="false" ht="19.7" hidden="false" customHeight="false" outlineLevel="0" collapsed="false">
      <c r="A1" s="1" t="s">
        <v>320</v>
      </c>
    </row>
    <row r="2" customFormat="false" ht="15" hidden="false" customHeight="false" outlineLevel="0" collapsed="false">
      <c r="A2" s="2" t="s">
        <v>321</v>
      </c>
    </row>
    <row r="4" customFormat="false" ht="31.5" hidden="false" customHeight="true" outlineLevel="0" collapsed="false">
      <c r="A4" s="5" t="s">
        <v>322</v>
      </c>
      <c r="B4" s="5" t="s">
        <v>323</v>
      </c>
      <c r="C4" s="5" t="s">
        <v>324</v>
      </c>
      <c r="D4" s="5" t="s">
        <v>325</v>
      </c>
      <c r="E4" s="5" t="s">
        <v>326</v>
      </c>
      <c r="F4" s="5" t="s">
        <v>327</v>
      </c>
      <c r="G4" s="5" t="s">
        <v>328</v>
      </c>
      <c r="H4" s="5" t="s">
        <v>329</v>
      </c>
      <c r="I4" s="5" t="s">
        <v>330</v>
      </c>
      <c r="J4" s="5" t="s">
        <v>331</v>
      </c>
      <c r="K4" s="5" t="s">
        <v>332</v>
      </c>
      <c r="L4" s="5" t="s">
        <v>333</v>
      </c>
      <c r="M4" s="5" t="s">
        <v>334</v>
      </c>
      <c r="N4" s="5" t="s">
        <v>335</v>
      </c>
      <c r="O4" s="5" t="s">
        <v>336</v>
      </c>
      <c r="P4" s="5" t="s">
        <v>216</v>
      </c>
      <c r="Q4" s="5" t="s">
        <v>337</v>
      </c>
      <c r="R4" s="5" t="s">
        <v>217</v>
      </c>
    </row>
    <row r="5" customFormat="false" ht="35.05" hidden="false" customHeight="false" outlineLevel="0" collapsed="false">
      <c r="A5" s="15" t="s">
        <v>338</v>
      </c>
      <c r="B5" s="16" t="s">
        <v>339</v>
      </c>
      <c r="C5" s="15" t="s">
        <v>340</v>
      </c>
      <c r="D5" s="16" t="s">
        <v>341</v>
      </c>
      <c r="E5" s="16" t="s">
        <v>342</v>
      </c>
      <c r="F5" s="63" t="s">
        <v>253</v>
      </c>
      <c r="G5" s="62" t="s">
        <v>343</v>
      </c>
      <c r="H5" s="16" t="s">
        <v>344</v>
      </c>
      <c r="I5" s="16" t="s">
        <v>345</v>
      </c>
      <c r="J5" s="16" t="s">
        <v>346</v>
      </c>
      <c r="K5" s="16" t="s">
        <v>347</v>
      </c>
      <c r="L5" s="16" t="s">
        <v>348</v>
      </c>
      <c r="M5" s="16" t="s">
        <v>349</v>
      </c>
      <c r="N5" s="41" t="s">
        <v>157</v>
      </c>
      <c r="O5" s="16" t="s">
        <v>350</v>
      </c>
      <c r="P5" s="16" t="s">
        <v>6</v>
      </c>
      <c r="Q5" s="16" t="s">
        <v>351</v>
      </c>
      <c r="R5" s="16" t="s">
        <v>220</v>
      </c>
    </row>
    <row r="6" customFormat="false" ht="35.05" hidden="false" customHeight="false" outlineLevel="0" collapsed="false">
      <c r="A6" s="15" t="s">
        <v>352</v>
      </c>
      <c r="B6" s="16" t="s">
        <v>339</v>
      </c>
      <c r="C6" s="15" t="s">
        <v>353</v>
      </c>
      <c r="D6" s="16" t="s">
        <v>354</v>
      </c>
      <c r="E6" s="16" t="s">
        <v>355</v>
      </c>
      <c r="F6" s="21" t="s">
        <v>70</v>
      </c>
      <c r="G6" s="56" t="s">
        <v>356</v>
      </c>
      <c r="H6" s="16" t="s">
        <v>357</v>
      </c>
      <c r="I6" s="16" t="s">
        <v>358</v>
      </c>
      <c r="J6" s="16" t="s">
        <v>359</v>
      </c>
      <c r="K6" s="16" t="s">
        <v>360</v>
      </c>
      <c r="L6" s="16" t="s">
        <v>361</v>
      </c>
      <c r="M6" s="16" t="s">
        <v>362</v>
      </c>
      <c r="N6" s="90" t="s">
        <v>363</v>
      </c>
      <c r="O6" s="16" t="s">
        <v>364</v>
      </c>
      <c r="P6" s="16" t="s">
        <v>6</v>
      </c>
      <c r="Q6" s="16" t="s">
        <v>365</v>
      </c>
      <c r="R6" s="16" t="s">
        <v>220</v>
      </c>
    </row>
    <row r="7" customFormat="false" ht="35.05" hidden="false" customHeight="false" outlineLevel="0" collapsed="false">
      <c r="A7" s="15" t="s">
        <v>366</v>
      </c>
      <c r="B7" s="16" t="s">
        <v>339</v>
      </c>
      <c r="C7" s="15" t="s">
        <v>367</v>
      </c>
      <c r="D7" s="16" t="s">
        <v>368</v>
      </c>
      <c r="E7" s="16" t="s">
        <v>355</v>
      </c>
      <c r="F7" s="21" t="s">
        <v>70</v>
      </c>
      <c r="G7" s="57" t="s">
        <v>369</v>
      </c>
      <c r="H7" s="16" t="s">
        <v>357</v>
      </c>
      <c r="I7" s="16" t="s">
        <v>358</v>
      </c>
      <c r="J7" s="16" t="s">
        <v>359</v>
      </c>
      <c r="K7" s="16" t="s">
        <v>370</v>
      </c>
      <c r="L7" s="16" t="s">
        <v>361</v>
      </c>
      <c r="M7" s="16" t="s">
        <v>371</v>
      </c>
      <c r="N7" s="90" t="s">
        <v>363</v>
      </c>
      <c r="O7" s="16" t="s">
        <v>372</v>
      </c>
      <c r="P7" s="16" t="s">
        <v>6</v>
      </c>
      <c r="Q7" s="16" t="s">
        <v>365</v>
      </c>
      <c r="R7" s="16" t="s">
        <v>220</v>
      </c>
    </row>
    <row r="8" customFormat="false" ht="57.45" hidden="false" customHeight="false" outlineLevel="0" collapsed="false">
      <c r="A8" s="15" t="s">
        <v>373</v>
      </c>
      <c r="B8" s="16" t="s">
        <v>374</v>
      </c>
      <c r="C8" s="15" t="s">
        <v>375</v>
      </c>
      <c r="D8" s="16" t="s">
        <v>376</v>
      </c>
      <c r="E8" s="16" t="s">
        <v>377</v>
      </c>
      <c r="F8" s="21" t="s">
        <v>378</v>
      </c>
      <c r="G8" s="74" t="s">
        <v>379</v>
      </c>
      <c r="H8" s="74" t="s">
        <v>380</v>
      </c>
      <c r="I8" s="16" t="s">
        <v>358</v>
      </c>
      <c r="J8" s="16" t="s">
        <v>381</v>
      </c>
      <c r="K8" s="16" t="s">
        <v>382</v>
      </c>
      <c r="L8" s="16" t="s">
        <v>383</v>
      </c>
      <c r="M8" s="16" t="s">
        <v>384</v>
      </c>
      <c r="N8" s="41" t="s">
        <v>157</v>
      </c>
      <c r="O8" s="16" t="s">
        <v>385</v>
      </c>
      <c r="P8" s="16" t="s">
        <v>6</v>
      </c>
      <c r="Q8" s="16" t="s">
        <v>351</v>
      </c>
      <c r="R8" s="16" t="s">
        <v>220</v>
      </c>
    </row>
    <row r="9" customFormat="false" ht="46.25" hidden="false" customHeight="false" outlineLevel="0" collapsed="false">
      <c r="A9" s="15" t="s">
        <v>386</v>
      </c>
      <c r="B9" s="16" t="s">
        <v>374</v>
      </c>
      <c r="C9" s="15" t="s">
        <v>387</v>
      </c>
      <c r="D9" s="16" t="s">
        <v>388</v>
      </c>
      <c r="E9" s="16" t="s">
        <v>377</v>
      </c>
      <c r="F9" s="21" t="s">
        <v>378</v>
      </c>
      <c r="G9" s="48" t="s">
        <v>389</v>
      </c>
      <c r="H9" s="48" t="s">
        <v>390</v>
      </c>
      <c r="I9" s="16" t="s">
        <v>358</v>
      </c>
      <c r="J9" s="16" t="s">
        <v>391</v>
      </c>
      <c r="K9" s="16" t="s">
        <v>392</v>
      </c>
      <c r="L9" s="16" t="s">
        <v>393</v>
      </c>
      <c r="M9" s="16" t="s">
        <v>394</v>
      </c>
      <c r="N9" s="41" t="s">
        <v>157</v>
      </c>
      <c r="O9" s="16" t="s">
        <v>395</v>
      </c>
      <c r="P9" s="16" t="s">
        <v>6</v>
      </c>
      <c r="Q9" s="16" t="s">
        <v>351</v>
      </c>
      <c r="R9" s="16" t="s">
        <v>220</v>
      </c>
    </row>
    <row r="10" customFormat="false" ht="35.05" hidden="false" customHeight="false" outlineLevel="0" collapsed="false">
      <c r="A10" s="15" t="s">
        <v>396</v>
      </c>
      <c r="B10" s="16" t="s">
        <v>397</v>
      </c>
      <c r="C10" s="15" t="s">
        <v>398</v>
      </c>
      <c r="D10" s="16" t="s">
        <v>399</v>
      </c>
      <c r="E10" s="16" t="s">
        <v>355</v>
      </c>
      <c r="F10" s="21" t="s">
        <v>70</v>
      </c>
      <c r="G10" s="75" t="s">
        <v>400</v>
      </c>
      <c r="H10" s="16" t="s">
        <v>357</v>
      </c>
      <c r="I10" s="16" t="s">
        <v>358</v>
      </c>
      <c r="J10" s="16" t="s">
        <v>359</v>
      </c>
      <c r="K10" s="16" t="s">
        <v>401</v>
      </c>
      <c r="L10" s="16" t="s">
        <v>361</v>
      </c>
      <c r="M10" s="16" t="s">
        <v>359</v>
      </c>
      <c r="N10" s="90" t="s">
        <v>363</v>
      </c>
      <c r="O10" s="16" t="s">
        <v>402</v>
      </c>
      <c r="P10" s="16" t="s">
        <v>7</v>
      </c>
      <c r="Q10" s="16" t="s">
        <v>351</v>
      </c>
      <c r="R10" s="16" t="s">
        <v>220</v>
      </c>
    </row>
    <row r="11" customFormat="false" ht="35.05" hidden="false" customHeight="false" outlineLevel="0" collapsed="false">
      <c r="A11" s="15" t="s">
        <v>403</v>
      </c>
      <c r="B11" s="16" t="s">
        <v>397</v>
      </c>
      <c r="C11" s="15" t="s">
        <v>404</v>
      </c>
      <c r="D11" s="16" t="s">
        <v>405</v>
      </c>
      <c r="E11" s="16" t="s">
        <v>355</v>
      </c>
      <c r="F11" s="21" t="s">
        <v>70</v>
      </c>
      <c r="G11" s="48" t="s">
        <v>406</v>
      </c>
      <c r="H11" s="16" t="s">
        <v>357</v>
      </c>
      <c r="I11" s="16" t="s">
        <v>358</v>
      </c>
      <c r="J11" s="16" t="s">
        <v>359</v>
      </c>
      <c r="K11" s="16" t="s">
        <v>407</v>
      </c>
      <c r="L11" s="16" t="s">
        <v>361</v>
      </c>
      <c r="M11" s="16" t="s">
        <v>359</v>
      </c>
      <c r="N11" s="90" t="s">
        <v>363</v>
      </c>
      <c r="O11" s="16" t="s">
        <v>408</v>
      </c>
      <c r="P11" s="16" t="s">
        <v>7</v>
      </c>
      <c r="Q11" s="16" t="s">
        <v>351</v>
      </c>
      <c r="R11" s="16" t="s">
        <v>220</v>
      </c>
    </row>
    <row r="12" customFormat="false" ht="23.85" hidden="false" customHeight="false" outlineLevel="0" collapsed="false">
      <c r="A12" s="15" t="s">
        <v>409</v>
      </c>
      <c r="B12" s="16" t="s">
        <v>410</v>
      </c>
      <c r="C12" s="15" t="s">
        <v>411</v>
      </c>
      <c r="D12" s="16" t="s">
        <v>412</v>
      </c>
      <c r="E12" s="16" t="s">
        <v>342</v>
      </c>
      <c r="F12" s="69" t="s">
        <v>413</v>
      </c>
      <c r="G12" s="68" t="s">
        <v>414</v>
      </c>
      <c r="H12" s="16" t="s">
        <v>344</v>
      </c>
      <c r="I12" s="16" t="s">
        <v>415</v>
      </c>
      <c r="J12" s="16" t="s">
        <v>416</v>
      </c>
      <c r="K12" s="16" t="s">
        <v>417</v>
      </c>
      <c r="L12" s="16" t="s">
        <v>348</v>
      </c>
      <c r="M12" s="16" t="s">
        <v>418</v>
      </c>
      <c r="N12" s="41" t="s">
        <v>157</v>
      </c>
      <c r="O12" s="16" t="s">
        <v>419</v>
      </c>
      <c r="P12" s="16" t="s">
        <v>6</v>
      </c>
      <c r="Q12" s="16" t="s">
        <v>351</v>
      </c>
      <c r="R12" s="16" t="s">
        <v>220</v>
      </c>
    </row>
    <row r="13" customFormat="false" ht="35.05" hidden="false" customHeight="false" outlineLevel="0" collapsed="false">
      <c r="A13" s="15" t="s">
        <v>420</v>
      </c>
      <c r="B13" s="16" t="s">
        <v>410</v>
      </c>
      <c r="C13" s="15" t="s">
        <v>421</v>
      </c>
      <c r="D13" s="16" t="s">
        <v>422</v>
      </c>
      <c r="E13" s="16" t="s">
        <v>423</v>
      </c>
      <c r="F13" s="21" t="s">
        <v>70</v>
      </c>
      <c r="G13" s="76" t="s">
        <v>424</v>
      </c>
      <c r="H13" s="16" t="s">
        <v>357</v>
      </c>
      <c r="I13" s="16" t="s">
        <v>425</v>
      </c>
      <c r="J13" s="16" t="s">
        <v>359</v>
      </c>
      <c r="K13" s="16" t="s">
        <v>426</v>
      </c>
      <c r="L13" s="16" t="s">
        <v>361</v>
      </c>
      <c r="M13" s="16" t="s">
        <v>427</v>
      </c>
      <c r="N13" s="90" t="s">
        <v>363</v>
      </c>
      <c r="O13" s="16" t="s">
        <v>428</v>
      </c>
      <c r="P13" s="16" t="s">
        <v>7</v>
      </c>
      <c r="Q13" s="16" t="s">
        <v>351</v>
      </c>
      <c r="R13" s="16" t="s">
        <v>220</v>
      </c>
    </row>
    <row r="14" customFormat="false" ht="35.05" hidden="false" customHeight="false" outlineLevel="0" collapsed="false">
      <c r="A14" s="15" t="s">
        <v>429</v>
      </c>
      <c r="B14" s="16" t="s">
        <v>410</v>
      </c>
      <c r="C14" s="15" t="s">
        <v>430</v>
      </c>
      <c r="D14" s="16" t="s">
        <v>431</v>
      </c>
      <c r="E14" s="16" t="s">
        <v>423</v>
      </c>
      <c r="F14" s="21" t="s">
        <v>70</v>
      </c>
      <c r="G14" s="56" t="s">
        <v>432</v>
      </c>
      <c r="H14" s="16" t="s">
        <v>357</v>
      </c>
      <c r="I14" s="16" t="s">
        <v>425</v>
      </c>
      <c r="J14" s="16" t="s">
        <v>359</v>
      </c>
      <c r="K14" s="16" t="s">
        <v>433</v>
      </c>
      <c r="L14" s="16" t="s">
        <v>361</v>
      </c>
      <c r="M14" s="16" t="s">
        <v>434</v>
      </c>
      <c r="N14" s="90" t="s">
        <v>363</v>
      </c>
      <c r="O14" s="16" t="s">
        <v>435</v>
      </c>
      <c r="P14" s="16" t="s">
        <v>7</v>
      </c>
      <c r="Q14" s="16" t="s">
        <v>351</v>
      </c>
      <c r="R14" s="16" t="s">
        <v>220</v>
      </c>
    </row>
    <row r="15" customFormat="false" ht="35.05" hidden="false" customHeight="false" outlineLevel="0" collapsed="false">
      <c r="A15" s="15" t="s">
        <v>436</v>
      </c>
      <c r="B15" s="16" t="s">
        <v>410</v>
      </c>
      <c r="C15" s="15" t="s">
        <v>437</v>
      </c>
      <c r="D15" s="16" t="s">
        <v>438</v>
      </c>
      <c r="E15" s="16" t="s">
        <v>423</v>
      </c>
      <c r="F15" s="21" t="s">
        <v>70</v>
      </c>
      <c r="G15" s="77" t="s">
        <v>439</v>
      </c>
      <c r="H15" s="16" t="s">
        <v>357</v>
      </c>
      <c r="I15" s="16" t="s">
        <v>425</v>
      </c>
      <c r="J15" s="16" t="s">
        <v>359</v>
      </c>
      <c r="K15" s="16" t="s">
        <v>440</v>
      </c>
      <c r="L15" s="16" t="s">
        <v>361</v>
      </c>
      <c r="M15" s="16" t="s">
        <v>441</v>
      </c>
      <c r="N15" s="90" t="s">
        <v>363</v>
      </c>
      <c r="O15" s="16" t="s">
        <v>442</v>
      </c>
      <c r="P15" s="16" t="s">
        <v>7</v>
      </c>
      <c r="Q15" s="16" t="s">
        <v>351</v>
      </c>
      <c r="R15" s="16" t="s">
        <v>220</v>
      </c>
    </row>
    <row r="16" customFormat="false" ht="35.05" hidden="false" customHeight="false" outlineLevel="0" collapsed="false">
      <c r="A16" s="15" t="s">
        <v>443</v>
      </c>
      <c r="B16" s="16" t="s">
        <v>410</v>
      </c>
      <c r="C16" s="15" t="s">
        <v>444</v>
      </c>
      <c r="D16" s="16" t="s">
        <v>445</v>
      </c>
      <c r="E16" s="16" t="s">
        <v>423</v>
      </c>
      <c r="F16" s="21" t="s">
        <v>70</v>
      </c>
      <c r="G16" s="62" t="s">
        <v>446</v>
      </c>
      <c r="H16" s="16" t="s">
        <v>357</v>
      </c>
      <c r="I16" s="16" t="s">
        <v>425</v>
      </c>
      <c r="J16" s="16" t="s">
        <v>359</v>
      </c>
      <c r="K16" s="16" t="s">
        <v>447</v>
      </c>
      <c r="L16" s="16" t="s">
        <v>361</v>
      </c>
      <c r="M16" s="16" t="s">
        <v>434</v>
      </c>
      <c r="N16" s="90" t="s">
        <v>363</v>
      </c>
      <c r="O16" s="16" t="s">
        <v>448</v>
      </c>
      <c r="P16" s="16" t="s">
        <v>7</v>
      </c>
      <c r="Q16" s="16" t="s">
        <v>351</v>
      </c>
      <c r="R16" s="16" t="s">
        <v>220</v>
      </c>
    </row>
    <row r="17" customFormat="false" ht="35.05" hidden="false" customHeight="false" outlineLevel="0" collapsed="false">
      <c r="A17" s="15" t="s">
        <v>449</v>
      </c>
      <c r="B17" s="16" t="s">
        <v>410</v>
      </c>
      <c r="C17" s="15" t="s">
        <v>450</v>
      </c>
      <c r="D17" s="16" t="s">
        <v>451</v>
      </c>
      <c r="E17" s="16" t="s">
        <v>423</v>
      </c>
      <c r="F17" s="21" t="s">
        <v>70</v>
      </c>
      <c r="G17" s="78" t="s">
        <v>452</v>
      </c>
      <c r="H17" s="16" t="s">
        <v>357</v>
      </c>
      <c r="I17" s="16" t="s">
        <v>425</v>
      </c>
      <c r="J17" s="16" t="s">
        <v>359</v>
      </c>
      <c r="K17" s="16" t="s">
        <v>440</v>
      </c>
      <c r="L17" s="16" t="s">
        <v>361</v>
      </c>
      <c r="M17" s="16" t="s">
        <v>441</v>
      </c>
      <c r="N17" s="90" t="s">
        <v>363</v>
      </c>
      <c r="O17" s="16" t="s">
        <v>453</v>
      </c>
      <c r="P17" s="16" t="s">
        <v>7</v>
      </c>
      <c r="Q17" s="16" t="s">
        <v>351</v>
      </c>
      <c r="R17" s="16" t="s">
        <v>220</v>
      </c>
    </row>
    <row r="18" customFormat="false" ht="35.05" hidden="false" customHeight="false" outlineLevel="0" collapsed="false">
      <c r="A18" s="15" t="s">
        <v>454</v>
      </c>
      <c r="B18" s="16" t="s">
        <v>410</v>
      </c>
      <c r="C18" s="15" t="s">
        <v>455</v>
      </c>
      <c r="D18" s="16" t="s">
        <v>456</v>
      </c>
      <c r="E18" s="16" t="s">
        <v>423</v>
      </c>
      <c r="F18" s="21" t="s">
        <v>70</v>
      </c>
      <c r="G18" s="65" t="s">
        <v>457</v>
      </c>
      <c r="H18" s="16" t="s">
        <v>357</v>
      </c>
      <c r="I18" s="16" t="s">
        <v>425</v>
      </c>
      <c r="J18" s="16" t="s">
        <v>359</v>
      </c>
      <c r="K18" s="16" t="s">
        <v>447</v>
      </c>
      <c r="L18" s="16" t="s">
        <v>361</v>
      </c>
      <c r="M18" s="16" t="s">
        <v>434</v>
      </c>
      <c r="N18" s="90" t="s">
        <v>363</v>
      </c>
      <c r="O18" s="16" t="s">
        <v>448</v>
      </c>
      <c r="P18" s="16" t="s">
        <v>7</v>
      </c>
      <c r="Q18" s="16" t="s">
        <v>351</v>
      </c>
      <c r="R18" s="16" t="s">
        <v>220</v>
      </c>
    </row>
    <row r="19" customFormat="false" ht="46.25" hidden="false" customHeight="false" outlineLevel="0" collapsed="false">
      <c r="A19" s="15" t="s">
        <v>458</v>
      </c>
      <c r="B19" s="16" t="s">
        <v>410</v>
      </c>
      <c r="C19" s="15" t="s">
        <v>459</v>
      </c>
      <c r="D19" s="16" t="s">
        <v>460</v>
      </c>
      <c r="E19" s="16" t="s">
        <v>355</v>
      </c>
      <c r="F19" s="69" t="s">
        <v>461</v>
      </c>
      <c r="G19" s="68" t="s">
        <v>462</v>
      </c>
      <c r="H19" s="70" t="s">
        <v>463</v>
      </c>
      <c r="I19" s="16" t="s">
        <v>464</v>
      </c>
      <c r="J19" s="16" t="s">
        <v>465</v>
      </c>
      <c r="K19" s="16" t="s">
        <v>466</v>
      </c>
      <c r="L19" s="16" t="s">
        <v>467</v>
      </c>
      <c r="M19" s="16" t="s">
        <v>468</v>
      </c>
      <c r="N19" s="43" t="s">
        <v>162</v>
      </c>
      <c r="O19" s="16" t="s">
        <v>469</v>
      </c>
      <c r="P19" s="16" t="s">
        <v>6</v>
      </c>
      <c r="Q19" s="16" t="s">
        <v>351</v>
      </c>
      <c r="R19" s="16" t="s">
        <v>220</v>
      </c>
    </row>
    <row r="20" customFormat="false" ht="35.05" hidden="false" customHeight="false" outlineLevel="0" collapsed="false">
      <c r="A20" s="15" t="s">
        <v>470</v>
      </c>
      <c r="B20" s="16" t="s">
        <v>471</v>
      </c>
      <c r="C20" s="15" t="s">
        <v>472</v>
      </c>
      <c r="D20" s="16" t="s">
        <v>473</v>
      </c>
      <c r="E20" s="16" t="s">
        <v>474</v>
      </c>
      <c r="F20" s="16" t="s">
        <v>89</v>
      </c>
      <c r="G20" s="16" t="s">
        <v>89</v>
      </c>
      <c r="H20" s="16" t="s">
        <v>475</v>
      </c>
      <c r="I20" s="16" t="s">
        <v>89</v>
      </c>
      <c r="J20" s="16" t="s">
        <v>476</v>
      </c>
      <c r="K20" s="16" t="s">
        <v>477</v>
      </c>
      <c r="L20" s="16" t="s">
        <v>478</v>
      </c>
      <c r="M20" s="16" t="s">
        <v>479</v>
      </c>
      <c r="N20" s="43" t="s">
        <v>162</v>
      </c>
      <c r="O20" s="16" t="s">
        <v>480</v>
      </c>
      <c r="P20" s="16" t="s">
        <v>7</v>
      </c>
      <c r="Q20" s="16" t="s">
        <v>351</v>
      </c>
      <c r="R20" s="16" t="s">
        <v>220</v>
      </c>
    </row>
    <row r="21" customFormat="false" ht="35.05" hidden="false" customHeight="false" outlineLevel="0" collapsed="false">
      <c r="A21" s="15" t="s">
        <v>481</v>
      </c>
      <c r="B21" s="16" t="s">
        <v>471</v>
      </c>
      <c r="C21" s="15" t="s">
        <v>482</v>
      </c>
      <c r="D21" s="16" t="s">
        <v>473</v>
      </c>
      <c r="E21" s="16" t="s">
        <v>483</v>
      </c>
      <c r="F21" s="16" t="s">
        <v>484</v>
      </c>
      <c r="G21" s="16" t="s">
        <v>89</v>
      </c>
      <c r="H21" s="16" t="s">
        <v>357</v>
      </c>
      <c r="I21" s="16" t="s">
        <v>89</v>
      </c>
      <c r="J21" s="16" t="s">
        <v>485</v>
      </c>
      <c r="K21" s="16" t="s">
        <v>486</v>
      </c>
      <c r="L21" s="16" t="s">
        <v>487</v>
      </c>
      <c r="M21" s="16" t="s">
        <v>359</v>
      </c>
      <c r="N21" s="31" t="s">
        <v>104</v>
      </c>
      <c r="O21" s="16" t="s">
        <v>488</v>
      </c>
      <c r="P21" s="16" t="s">
        <v>8</v>
      </c>
      <c r="Q21" s="16" t="s">
        <v>351</v>
      </c>
      <c r="R21" s="16" t="s">
        <v>220</v>
      </c>
    </row>
    <row r="22" customFormat="false" ht="35.05" hidden="false" customHeight="false" outlineLevel="0" collapsed="false">
      <c r="A22" s="15" t="s">
        <v>489</v>
      </c>
      <c r="B22" s="16" t="s">
        <v>490</v>
      </c>
      <c r="C22" s="15" t="s">
        <v>491</v>
      </c>
      <c r="D22" s="16" t="s">
        <v>492</v>
      </c>
      <c r="E22" s="16" t="s">
        <v>483</v>
      </c>
      <c r="F22" s="16" t="s">
        <v>493</v>
      </c>
      <c r="G22" s="16" t="s">
        <v>89</v>
      </c>
      <c r="H22" s="16" t="s">
        <v>494</v>
      </c>
      <c r="I22" s="16" t="s">
        <v>89</v>
      </c>
      <c r="J22" s="16" t="s">
        <v>495</v>
      </c>
      <c r="K22" s="16" t="s">
        <v>496</v>
      </c>
      <c r="L22" s="16" t="s">
        <v>497</v>
      </c>
      <c r="M22" s="16" t="s">
        <v>498</v>
      </c>
      <c r="N22" s="16" t="s">
        <v>89</v>
      </c>
      <c r="O22" s="16" t="s">
        <v>499</v>
      </c>
      <c r="P22" s="16" t="s">
        <v>7</v>
      </c>
      <c r="Q22" s="16" t="s">
        <v>351</v>
      </c>
      <c r="R22" s="16" t="s">
        <v>220</v>
      </c>
    </row>
    <row r="24" customFormat="false" ht="15" hidden="false" customHeight="false" outlineLevel="0" collapsed="false">
      <c r="A24" s="2" t="s">
        <v>500</v>
      </c>
    </row>
  </sheetData>
  <autoFilter ref="A4:R22"/>
  <conditionalFormatting sqref="P5:P22">
    <cfRule type="cellIs" priority="2" operator="equal" aboveAverage="0" equalAverage="0" bottom="0" percent="0" rank="0" text="" dxfId="61">
      <formula>"Alta"</formula>
    </cfRule>
    <cfRule type="cellIs" priority="3" operator="equal" aboveAverage="0" equalAverage="0" bottom="0" percent="0" rank="0" text="" dxfId="62">
      <formula>"Média"</formula>
    </cfRule>
    <cfRule type="cellIs" priority="4" operator="equal" aboveAverage="0" equalAverage="0" bottom="0" percent="0" rank="0" text="" dxfId="63">
      <formula>"Baixa"</formula>
    </cfRule>
  </conditionalFormatting>
  <conditionalFormatting sqref="R5:R22">
    <cfRule type="cellIs" priority="5" operator="equal" aboveAverage="0" equalAverage="0" bottom="0" percent="0" rank="0" text="" dxfId="64">
      <formula>"Feito"</formula>
    </cfRule>
    <cfRule type="cellIs" priority="6" operator="equal" aboveAverage="0" equalAverage="0" bottom="0" percent="0" rank="0" text="" dxfId="65">
      <formula>"Em curso"</formula>
    </cfRule>
  </conditionalFormatting>
  <dataValidations count="3">
    <dataValidation allowBlank="true" errorStyle="stop" operator="between" showDropDown="false" showErrorMessage="false" showInputMessage="false" sqref="P5:P22" type="list">
      <formula1>"Alta,Média,Baixa"</formula1>
      <formula2>0</formula2>
    </dataValidation>
    <dataValidation allowBlank="true" errorStyle="stop" operator="between" showDropDown="false" showErrorMessage="false" showInputMessage="false" sqref="R5:R22" type="list">
      <formula1>"Por fazer,Em curso,Feito,Não aplicar"</formula1>
      <formula2>0</formula2>
    </dataValidation>
    <dataValidation allowBlank="true" errorStyle="stop" operator="between" showDropDown="false" showErrorMessage="false" showInputMessage="false" sqref="Q5:Q22" type="list">
      <formula1>"S,M,L"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52"/>
    <col collapsed="false" customWidth="true" hidden="false" outlineLevel="0" max="8" min="8" style="0" width="22"/>
    <col collapsed="false" customWidth="true" hidden="false" outlineLevel="0" max="9" min="9" style="0" width="40"/>
  </cols>
  <sheetData>
    <row r="1" customFormat="false" ht="19.7" hidden="false" customHeight="false" outlineLevel="0" collapsed="false">
      <c r="A1" s="1" t="s">
        <v>501</v>
      </c>
    </row>
    <row r="2" customFormat="false" ht="15" hidden="false" customHeight="false" outlineLevel="0" collapsed="false">
      <c r="A2" s="2" t="s">
        <v>502</v>
      </c>
    </row>
    <row r="4" customFormat="false" ht="31.5" hidden="false" customHeight="true" outlineLevel="0" collapsed="false">
      <c r="A4" s="5" t="s">
        <v>503</v>
      </c>
      <c r="B4" s="5" t="s">
        <v>324</v>
      </c>
      <c r="C4" s="5" t="s">
        <v>325</v>
      </c>
      <c r="D4" s="5" t="s">
        <v>504</v>
      </c>
      <c r="E4" s="5" t="s">
        <v>505</v>
      </c>
      <c r="F4" s="5" t="s">
        <v>506</v>
      </c>
      <c r="G4" s="5" t="s">
        <v>507</v>
      </c>
      <c r="H4" s="5" t="s">
        <v>508</v>
      </c>
      <c r="I4" s="5" t="s">
        <v>173</v>
      </c>
    </row>
    <row r="5" customFormat="false" ht="15" hidden="false" customHeight="false" outlineLevel="0" collapsed="false">
      <c r="A5" s="16" t="s">
        <v>509</v>
      </c>
      <c r="B5" s="15" t="s">
        <v>510</v>
      </c>
      <c r="C5" s="16" t="s">
        <v>511</v>
      </c>
      <c r="D5" s="16" t="s">
        <v>512</v>
      </c>
      <c r="E5" s="16" t="s">
        <v>145</v>
      </c>
      <c r="F5" s="31" t="s">
        <v>104</v>
      </c>
      <c r="G5" s="16" t="s">
        <v>513</v>
      </c>
      <c r="H5" s="16" t="s">
        <v>89</v>
      </c>
      <c r="I5" s="16"/>
    </row>
    <row r="6" customFormat="false" ht="23.85" hidden="false" customHeight="false" outlineLevel="0" collapsed="false">
      <c r="A6" s="16" t="s">
        <v>509</v>
      </c>
      <c r="B6" s="15" t="s">
        <v>514</v>
      </c>
      <c r="C6" s="16" t="s">
        <v>515</v>
      </c>
      <c r="D6" s="16" t="s">
        <v>516</v>
      </c>
      <c r="E6" s="16" t="s">
        <v>517</v>
      </c>
      <c r="F6" s="43" t="s">
        <v>162</v>
      </c>
      <c r="G6" s="16" t="s">
        <v>518</v>
      </c>
      <c r="H6" s="16" t="s">
        <v>519</v>
      </c>
      <c r="I6" s="16"/>
    </row>
    <row r="7" customFormat="false" ht="15" hidden="false" customHeight="false" outlineLevel="0" collapsed="false">
      <c r="A7" s="16" t="s">
        <v>509</v>
      </c>
      <c r="B7" s="15" t="s">
        <v>520</v>
      </c>
      <c r="C7" s="16" t="s">
        <v>521</v>
      </c>
      <c r="D7" s="16" t="s">
        <v>522</v>
      </c>
      <c r="E7" s="16" t="s">
        <v>523</v>
      </c>
      <c r="F7" s="48" t="s">
        <v>180</v>
      </c>
      <c r="G7" s="16" t="s">
        <v>524</v>
      </c>
      <c r="H7" s="16" t="s">
        <v>89</v>
      </c>
      <c r="I7" s="16" t="s">
        <v>525</v>
      </c>
    </row>
    <row r="8" customFormat="false" ht="15" hidden="false" customHeight="false" outlineLevel="0" collapsed="false">
      <c r="A8" s="16" t="s">
        <v>509</v>
      </c>
      <c r="B8" s="15" t="s">
        <v>526</v>
      </c>
      <c r="C8" s="16" t="s">
        <v>527</v>
      </c>
      <c r="D8" s="16" t="s">
        <v>522</v>
      </c>
      <c r="E8" s="16" t="s">
        <v>528</v>
      </c>
      <c r="F8" s="41" t="s">
        <v>157</v>
      </c>
      <c r="G8" s="16" t="s">
        <v>529</v>
      </c>
      <c r="H8" s="16" t="s">
        <v>89</v>
      </c>
      <c r="I8" s="16"/>
    </row>
    <row r="9" customFormat="false" ht="15" hidden="false" customHeight="false" outlineLevel="0" collapsed="false">
      <c r="A9" s="16" t="s">
        <v>509</v>
      </c>
      <c r="B9" s="15" t="s">
        <v>530</v>
      </c>
      <c r="C9" s="16" t="s">
        <v>531</v>
      </c>
      <c r="D9" s="16" t="s">
        <v>522</v>
      </c>
      <c r="E9" s="16" t="s">
        <v>532</v>
      </c>
      <c r="F9" s="41" t="s">
        <v>157</v>
      </c>
      <c r="G9" s="16" t="s">
        <v>533</v>
      </c>
      <c r="H9" s="16" t="s">
        <v>89</v>
      </c>
      <c r="I9" s="16"/>
    </row>
    <row r="10" customFormat="false" ht="15" hidden="false" customHeight="false" outlineLevel="0" collapsed="false">
      <c r="A10" s="16" t="s">
        <v>509</v>
      </c>
      <c r="B10" s="15" t="s">
        <v>534</v>
      </c>
      <c r="C10" s="16" t="s">
        <v>535</v>
      </c>
      <c r="D10" s="16" t="s">
        <v>522</v>
      </c>
      <c r="E10" s="16" t="s">
        <v>532</v>
      </c>
      <c r="F10" s="41" t="s">
        <v>157</v>
      </c>
      <c r="G10" s="16" t="s">
        <v>536</v>
      </c>
      <c r="H10" s="16" t="s">
        <v>89</v>
      </c>
      <c r="I10" s="16"/>
    </row>
    <row r="11" customFormat="false" ht="23.85" hidden="false" customHeight="false" outlineLevel="0" collapsed="false">
      <c r="A11" s="16" t="s">
        <v>509</v>
      </c>
      <c r="B11" s="15" t="s">
        <v>537</v>
      </c>
      <c r="C11" s="16" t="s">
        <v>538</v>
      </c>
      <c r="D11" s="16" t="s">
        <v>539</v>
      </c>
      <c r="E11" s="16" t="s">
        <v>540</v>
      </c>
      <c r="F11" s="47" t="s">
        <v>177</v>
      </c>
      <c r="G11" s="16" t="s">
        <v>541</v>
      </c>
      <c r="H11" s="16" t="s">
        <v>542</v>
      </c>
      <c r="I11" s="16" t="s">
        <v>543</v>
      </c>
    </row>
    <row r="12" customFormat="false" ht="23.85" hidden="false" customHeight="false" outlineLevel="0" collapsed="false">
      <c r="A12" s="16" t="s">
        <v>509</v>
      </c>
      <c r="B12" s="15" t="s">
        <v>544</v>
      </c>
      <c r="C12" s="16" t="s">
        <v>545</v>
      </c>
      <c r="D12" s="16" t="s">
        <v>546</v>
      </c>
      <c r="E12" s="16" t="s">
        <v>177</v>
      </c>
      <c r="F12" s="47" t="s">
        <v>177</v>
      </c>
      <c r="G12" s="16" t="s">
        <v>547</v>
      </c>
      <c r="H12" s="16" t="s">
        <v>548</v>
      </c>
      <c r="I12" s="16"/>
    </row>
    <row r="13" customFormat="false" ht="23.85" hidden="false" customHeight="false" outlineLevel="0" collapsed="false">
      <c r="A13" s="16" t="s">
        <v>549</v>
      </c>
      <c r="B13" s="15" t="s">
        <v>550</v>
      </c>
      <c r="C13" s="16" t="s">
        <v>551</v>
      </c>
      <c r="D13" s="16" t="s">
        <v>552</v>
      </c>
      <c r="E13" s="16" t="s">
        <v>553</v>
      </c>
      <c r="F13" s="34" t="s">
        <v>113</v>
      </c>
      <c r="G13" s="16" t="s">
        <v>554</v>
      </c>
      <c r="H13" s="16" t="s">
        <v>555</v>
      </c>
      <c r="I13" s="16" t="s">
        <v>556</v>
      </c>
    </row>
    <row r="14" customFormat="false" ht="23.85" hidden="false" customHeight="false" outlineLevel="0" collapsed="false">
      <c r="A14" s="16" t="s">
        <v>549</v>
      </c>
      <c r="B14" s="15" t="s">
        <v>557</v>
      </c>
      <c r="C14" s="16" t="s">
        <v>558</v>
      </c>
      <c r="D14" s="16" t="s">
        <v>559</v>
      </c>
      <c r="E14" s="16" t="s">
        <v>560</v>
      </c>
      <c r="F14" s="47" t="s">
        <v>177</v>
      </c>
      <c r="G14" s="16" t="s">
        <v>561</v>
      </c>
      <c r="H14" s="16" t="s">
        <v>562</v>
      </c>
      <c r="I14" s="16"/>
    </row>
    <row r="15" customFormat="false" ht="15" hidden="false" customHeight="false" outlineLevel="0" collapsed="false">
      <c r="A15" s="16" t="s">
        <v>509</v>
      </c>
      <c r="B15" s="15" t="s">
        <v>563</v>
      </c>
      <c r="C15" s="16" t="s">
        <v>564</v>
      </c>
      <c r="D15" s="16" t="s">
        <v>565</v>
      </c>
      <c r="E15" s="16" t="s">
        <v>566</v>
      </c>
      <c r="F15" s="52" t="s">
        <v>197</v>
      </c>
      <c r="G15" s="16" t="s">
        <v>567</v>
      </c>
      <c r="H15" s="16" t="s">
        <v>89</v>
      </c>
      <c r="I15" s="16" t="s">
        <v>568</v>
      </c>
    </row>
    <row r="16" customFormat="false" ht="23.85" hidden="false" customHeight="false" outlineLevel="0" collapsed="false">
      <c r="A16" s="16" t="s">
        <v>509</v>
      </c>
      <c r="B16" s="15" t="s">
        <v>569</v>
      </c>
      <c r="C16" s="16" t="s">
        <v>570</v>
      </c>
      <c r="D16" s="16" t="s">
        <v>571</v>
      </c>
      <c r="E16" s="16" t="s">
        <v>572</v>
      </c>
      <c r="F16" s="54" t="s">
        <v>203</v>
      </c>
      <c r="G16" s="16" t="s">
        <v>573</v>
      </c>
      <c r="H16" s="16" t="s">
        <v>89</v>
      </c>
      <c r="I16" s="16"/>
    </row>
    <row r="17" customFormat="false" ht="15" hidden="false" customHeight="false" outlineLevel="0" collapsed="false">
      <c r="A17" s="16" t="s">
        <v>509</v>
      </c>
      <c r="B17" s="15" t="s">
        <v>574</v>
      </c>
      <c r="C17" s="16" t="s">
        <v>575</v>
      </c>
      <c r="D17" s="16" t="s">
        <v>576</v>
      </c>
      <c r="E17" s="16" t="s">
        <v>577</v>
      </c>
      <c r="F17" s="91" t="s">
        <v>578</v>
      </c>
      <c r="G17" s="16" t="s">
        <v>579</v>
      </c>
      <c r="H17" s="16" t="s">
        <v>580</v>
      </c>
      <c r="I17" s="16"/>
    </row>
    <row r="18" customFormat="false" ht="23.85" hidden="false" customHeight="false" outlineLevel="0" collapsed="false">
      <c r="A18" s="16" t="s">
        <v>509</v>
      </c>
      <c r="B18" s="15" t="s">
        <v>581</v>
      </c>
      <c r="C18" s="16" t="s">
        <v>483</v>
      </c>
      <c r="D18" s="16" t="s">
        <v>582</v>
      </c>
      <c r="E18" s="16" t="s">
        <v>583</v>
      </c>
      <c r="F18" s="92" t="s">
        <v>584</v>
      </c>
      <c r="G18" s="16" t="s">
        <v>585</v>
      </c>
      <c r="H18" s="16" t="s">
        <v>89</v>
      </c>
      <c r="I18" s="16"/>
    </row>
    <row r="19" customFormat="false" ht="23.85" hidden="false" customHeight="false" outlineLevel="0" collapsed="false">
      <c r="A19" s="16" t="s">
        <v>586</v>
      </c>
      <c r="B19" s="15" t="s">
        <v>587</v>
      </c>
      <c r="C19" s="16" t="s">
        <v>588</v>
      </c>
      <c r="D19" s="16" t="s">
        <v>589</v>
      </c>
      <c r="E19" s="16" t="s">
        <v>532</v>
      </c>
      <c r="F19" s="41" t="s">
        <v>157</v>
      </c>
      <c r="G19" s="16" t="s">
        <v>533</v>
      </c>
      <c r="H19" s="16" t="s">
        <v>590</v>
      </c>
      <c r="I19" s="16" t="s">
        <v>591</v>
      </c>
    </row>
    <row r="20" customFormat="false" ht="23.85" hidden="false" customHeight="false" outlineLevel="0" collapsed="false">
      <c r="A20" s="16" t="s">
        <v>586</v>
      </c>
      <c r="B20" s="15" t="s">
        <v>592</v>
      </c>
      <c r="C20" s="16" t="s">
        <v>593</v>
      </c>
      <c r="D20" s="16" t="s">
        <v>594</v>
      </c>
      <c r="E20" s="16" t="s">
        <v>363</v>
      </c>
      <c r="F20" s="23" t="s">
        <v>75</v>
      </c>
      <c r="G20" s="16" t="s">
        <v>595</v>
      </c>
      <c r="H20" s="16" t="s">
        <v>596</v>
      </c>
      <c r="I20" s="16" t="s">
        <v>597</v>
      </c>
    </row>
    <row r="21" customFormat="false" ht="15" hidden="false" customHeight="false" outlineLevel="0" collapsed="false">
      <c r="A21" s="16" t="s">
        <v>586</v>
      </c>
      <c r="B21" s="15" t="s">
        <v>598</v>
      </c>
      <c r="C21" s="16" t="s">
        <v>599</v>
      </c>
      <c r="D21" s="16" t="s">
        <v>522</v>
      </c>
      <c r="E21" s="16" t="s">
        <v>600</v>
      </c>
      <c r="F21" s="41" t="s">
        <v>157</v>
      </c>
      <c r="G21" s="16" t="s">
        <v>601</v>
      </c>
      <c r="H21" s="16" t="s">
        <v>602</v>
      </c>
      <c r="I21" s="16"/>
    </row>
    <row r="22" customFormat="false" ht="15" hidden="false" customHeight="false" outlineLevel="0" collapsed="false">
      <c r="A22" s="16" t="s">
        <v>586</v>
      </c>
      <c r="B22" s="15" t="s">
        <v>603</v>
      </c>
      <c r="C22" s="16" t="s">
        <v>604</v>
      </c>
      <c r="D22" s="16" t="s">
        <v>522</v>
      </c>
      <c r="E22" s="16" t="s">
        <v>605</v>
      </c>
      <c r="F22" s="47" t="s">
        <v>177</v>
      </c>
      <c r="G22" s="16" t="s">
        <v>606</v>
      </c>
      <c r="H22" s="16" t="s">
        <v>555</v>
      </c>
      <c r="I22" s="16"/>
    </row>
    <row r="23" customFormat="false" ht="15" hidden="false" customHeight="false" outlineLevel="0" collapsed="false">
      <c r="A23" s="16" t="s">
        <v>586</v>
      </c>
      <c r="B23" s="15" t="s">
        <v>607</v>
      </c>
      <c r="C23" s="16" t="s">
        <v>608</v>
      </c>
      <c r="D23" s="16" t="s">
        <v>522</v>
      </c>
      <c r="E23" s="16" t="s">
        <v>609</v>
      </c>
      <c r="F23" s="41" t="s">
        <v>157</v>
      </c>
      <c r="G23" s="16" t="s">
        <v>610</v>
      </c>
      <c r="H23" s="16" t="s">
        <v>580</v>
      </c>
      <c r="I23" s="16"/>
    </row>
    <row r="24" customFormat="false" ht="15" hidden="false" customHeight="false" outlineLevel="0" collapsed="false">
      <c r="A24" s="16" t="s">
        <v>586</v>
      </c>
      <c r="B24" s="15" t="s">
        <v>611</v>
      </c>
      <c r="C24" s="16" t="s">
        <v>612</v>
      </c>
      <c r="D24" s="16" t="s">
        <v>613</v>
      </c>
      <c r="E24" s="16" t="s">
        <v>363</v>
      </c>
      <c r="F24" s="23" t="s">
        <v>75</v>
      </c>
      <c r="G24" s="16" t="s">
        <v>614</v>
      </c>
      <c r="H24" s="16" t="s">
        <v>615</v>
      </c>
      <c r="I24" s="16"/>
    </row>
  </sheetData>
  <autoFilter ref="A4:I2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9" min="7" style="0" width="12"/>
    <col collapsed="false" customWidth="true" hidden="false" outlineLevel="0" max="10" min="10" style="0" width="50"/>
  </cols>
  <sheetData>
    <row r="1" customFormat="false" ht="19.7" hidden="false" customHeight="false" outlineLevel="0" collapsed="false">
      <c r="A1" s="1" t="s">
        <v>616</v>
      </c>
    </row>
    <row r="2" customFormat="false" ht="15" hidden="false" customHeight="false" outlineLevel="0" collapsed="false">
      <c r="A2" s="2" t="s">
        <v>617</v>
      </c>
    </row>
    <row r="4" customFormat="false" ht="31.5" hidden="false" customHeight="true" outlineLevel="0" collapsed="false">
      <c r="A4" s="5" t="s">
        <v>507</v>
      </c>
      <c r="B4" s="5" t="s">
        <v>618</v>
      </c>
      <c r="C4" s="5" t="s">
        <v>619</v>
      </c>
      <c r="D4" s="5" t="s">
        <v>620</v>
      </c>
      <c r="E4" s="5" t="s">
        <v>621</v>
      </c>
      <c r="F4" s="5" t="s">
        <v>167</v>
      </c>
      <c r="G4" s="5" t="s">
        <v>169</v>
      </c>
      <c r="H4" s="5" t="s">
        <v>622</v>
      </c>
      <c r="I4" s="5" t="s">
        <v>623</v>
      </c>
      <c r="J4" s="5" t="s">
        <v>173</v>
      </c>
    </row>
    <row r="5" customFormat="false" ht="23.85" hidden="false" customHeight="false" outlineLevel="0" collapsed="false">
      <c r="A5" s="15" t="s">
        <v>624</v>
      </c>
      <c r="B5" s="16" t="s">
        <v>625</v>
      </c>
      <c r="C5" s="16" t="s">
        <v>626</v>
      </c>
      <c r="D5" s="16" t="s">
        <v>627</v>
      </c>
      <c r="E5" s="16" t="s">
        <v>628</v>
      </c>
      <c r="F5" s="16" t="s">
        <v>157</v>
      </c>
      <c r="G5" s="41" t="s">
        <v>54</v>
      </c>
      <c r="H5" s="46" t="n">
        <v>7.61</v>
      </c>
      <c r="I5" s="46" t="n">
        <v>1.92</v>
      </c>
      <c r="J5" s="16" t="s">
        <v>629</v>
      </c>
    </row>
    <row r="6" customFormat="false" ht="15" hidden="false" customHeight="false" outlineLevel="0" collapsed="false">
      <c r="A6" s="15"/>
      <c r="B6" s="16"/>
      <c r="C6" s="16"/>
      <c r="D6" s="16" t="s">
        <v>630</v>
      </c>
      <c r="E6" s="16" t="s">
        <v>631</v>
      </c>
      <c r="F6" s="16" t="s">
        <v>177</v>
      </c>
      <c r="G6" s="47" t="s">
        <v>54</v>
      </c>
      <c r="H6" s="46" t="n">
        <v>6.46</v>
      </c>
      <c r="I6" s="46" t="n">
        <v>2.26</v>
      </c>
      <c r="J6" s="16"/>
    </row>
    <row r="7" customFormat="false" ht="15" hidden="false" customHeight="false" outlineLevel="0" collapsed="false">
      <c r="A7" s="15"/>
      <c r="B7" s="16"/>
      <c r="C7" s="16"/>
      <c r="D7" s="16" t="s">
        <v>632</v>
      </c>
      <c r="E7" s="16" t="s">
        <v>633</v>
      </c>
      <c r="F7" s="16" t="s">
        <v>162</v>
      </c>
      <c r="G7" s="43" t="s">
        <v>54</v>
      </c>
      <c r="H7" s="46" t="n">
        <v>5.29</v>
      </c>
      <c r="I7" s="46" t="n">
        <v>2.77</v>
      </c>
      <c r="J7" s="16"/>
    </row>
    <row r="8" customFormat="false" ht="15" hidden="false" customHeight="false" outlineLevel="0" collapsed="false">
      <c r="A8" s="93"/>
      <c r="B8" s="94"/>
      <c r="C8" s="94"/>
      <c r="D8" s="94" t="s">
        <v>634</v>
      </c>
      <c r="E8" s="94" t="s">
        <v>635</v>
      </c>
      <c r="F8" s="94" t="s">
        <v>113</v>
      </c>
      <c r="G8" s="95" t="s">
        <v>54</v>
      </c>
      <c r="H8" s="96" t="n">
        <v>5.71</v>
      </c>
      <c r="I8" s="96" t="n">
        <v>2.56</v>
      </c>
      <c r="J8" s="94"/>
    </row>
    <row r="9" customFormat="false" ht="23.85" hidden="false" customHeight="false" outlineLevel="0" collapsed="false">
      <c r="A9" s="15" t="s">
        <v>636</v>
      </c>
      <c r="B9" s="16" t="s">
        <v>637</v>
      </c>
      <c r="C9" s="16" t="s">
        <v>638</v>
      </c>
      <c r="D9" s="16" t="s">
        <v>627</v>
      </c>
      <c r="E9" s="16" t="s">
        <v>639</v>
      </c>
      <c r="F9" s="16" t="s">
        <v>157</v>
      </c>
      <c r="G9" s="41" t="s">
        <v>54</v>
      </c>
      <c r="H9" s="46" t="n">
        <v>7.61</v>
      </c>
      <c r="I9" s="46" t="n">
        <v>1.92</v>
      </c>
      <c r="J9" s="16" t="s">
        <v>640</v>
      </c>
    </row>
    <row r="10" customFormat="false" ht="15" hidden="false" customHeight="false" outlineLevel="0" collapsed="false">
      <c r="A10" s="15"/>
      <c r="B10" s="16"/>
      <c r="C10" s="16"/>
      <c r="D10" s="16" t="s">
        <v>630</v>
      </c>
      <c r="E10" s="16" t="s">
        <v>631</v>
      </c>
      <c r="F10" s="16" t="s">
        <v>177</v>
      </c>
      <c r="G10" s="47" t="s">
        <v>54</v>
      </c>
      <c r="H10" s="46" t="n">
        <v>6.46</v>
      </c>
      <c r="I10" s="46" t="n">
        <v>2.26</v>
      </c>
      <c r="J10" s="16"/>
    </row>
    <row r="11" customFormat="false" ht="15" hidden="false" customHeight="false" outlineLevel="0" collapsed="false">
      <c r="A11" s="15"/>
      <c r="B11" s="16"/>
      <c r="C11" s="16"/>
      <c r="D11" s="16" t="s">
        <v>632</v>
      </c>
      <c r="E11" s="16" t="s">
        <v>641</v>
      </c>
      <c r="F11" s="16" t="s">
        <v>162</v>
      </c>
      <c r="G11" s="43" t="s">
        <v>54</v>
      </c>
      <c r="H11" s="46" t="n">
        <v>5.29</v>
      </c>
      <c r="I11" s="46" t="n">
        <v>2.77</v>
      </c>
      <c r="J11" s="16"/>
    </row>
    <row r="12" customFormat="false" ht="15" hidden="false" customHeight="false" outlineLevel="0" collapsed="false">
      <c r="A12" s="93"/>
      <c r="B12" s="94"/>
      <c r="C12" s="94"/>
      <c r="D12" s="94" t="s">
        <v>634</v>
      </c>
      <c r="E12" s="94" t="s">
        <v>642</v>
      </c>
      <c r="F12" s="94" t="s">
        <v>113</v>
      </c>
      <c r="G12" s="95" t="s">
        <v>54</v>
      </c>
      <c r="H12" s="96" t="n">
        <v>5.71</v>
      </c>
      <c r="I12" s="96" t="n">
        <v>2.56</v>
      </c>
      <c r="J12" s="94"/>
    </row>
    <row r="13" customFormat="false" ht="35.05" hidden="false" customHeight="false" outlineLevel="0" collapsed="false">
      <c r="A13" s="15" t="s">
        <v>643</v>
      </c>
      <c r="B13" s="16" t="s">
        <v>644</v>
      </c>
      <c r="C13" s="16" t="s">
        <v>645</v>
      </c>
      <c r="D13" s="16" t="s">
        <v>646</v>
      </c>
      <c r="E13" s="16" t="s">
        <v>647</v>
      </c>
      <c r="F13" s="16" t="s">
        <v>157</v>
      </c>
      <c r="G13" s="41" t="s">
        <v>54</v>
      </c>
      <c r="H13" s="46" t="n">
        <v>7.61</v>
      </c>
      <c r="I13" s="46" t="n">
        <v>1.92</v>
      </c>
      <c r="J13" s="16" t="s">
        <v>648</v>
      </c>
    </row>
    <row r="14" customFormat="false" ht="15" hidden="false" customHeight="false" outlineLevel="0" collapsed="false">
      <c r="A14" s="15"/>
      <c r="B14" s="16"/>
      <c r="C14" s="16"/>
      <c r="D14" s="16" t="s">
        <v>649</v>
      </c>
      <c r="E14" s="16" t="s">
        <v>650</v>
      </c>
      <c r="F14" s="16" t="s">
        <v>177</v>
      </c>
      <c r="G14" s="47" t="s">
        <v>54</v>
      </c>
      <c r="H14" s="46" t="n">
        <v>6.46</v>
      </c>
      <c r="I14" s="46" t="n">
        <v>2.26</v>
      </c>
      <c r="J14" s="16"/>
    </row>
    <row r="15" customFormat="false" ht="15" hidden="false" customHeight="false" outlineLevel="0" collapsed="false">
      <c r="A15" s="93"/>
      <c r="B15" s="94"/>
      <c r="C15" s="94"/>
      <c r="D15" s="94" t="s">
        <v>651</v>
      </c>
      <c r="E15" s="94" t="s">
        <v>652</v>
      </c>
      <c r="F15" s="94" t="s">
        <v>162</v>
      </c>
      <c r="G15" s="97" t="s">
        <v>54</v>
      </c>
      <c r="H15" s="96" t="n">
        <v>5.29</v>
      </c>
      <c r="I15" s="96" t="n">
        <v>2.77</v>
      </c>
      <c r="J15" s="94"/>
    </row>
    <row r="16" customFormat="false" ht="23.85" hidden="false" customHeight="false" outlineLevel="0" collapsed="false">
      <c r="A16" s="15" t="s">
        <v>653</v>
      </c>
      <c r="B16" s="16" t="s">
        <v>654</v>
      </c>
      <c r="C16" s="16" t="s">
        <v>655</v>
      </c>
      <c r="D16" s="16" t="s">
        <v>656</v>
      </c>
      <c r="E16" s="16" t="s">
        <v>657</v>
      </c>
      <c r="F16" s="16" t="s">
        <v>258</v>
      </c>
      <c r="G16" s="65" t="s">
        <v>54</v>
      </c>
      <c r="H16" s="46" t="n">
        <v>8.97</v>
      </c>
      <c r="I16" s="46" t="n">
        <v>1.63</v>
      </c>
      <c r="J16" s="16" t="s">
        <v>658</v>
      </c>
    </row>
    <row r="17" customFormat="false" ht="15" hidden="false" customHeight="false" outlineLevel="0" collapsed="false">
      <c r="A17" s="15"/>
      <c r="B17" s="16"/>
      <c r="C17" s="16"/>
      <c r="D17" s="16" t="s">
        <v>627</v>
      </c>
      <c r="E17" s="16" t="s">
        <v>659</v>
      </c>
      <c r="F17" s="16" t="s">
        <v>250</v>
      </c>
      <c r="G17" s="62" t="s">
        <v>54</v>
      </c>
      <c r="H17" s="46" t="n">
        <v>3.23</v>
      </c>
      <c r="I17" s="46" t="n">
        <v>4.53</v>
      </c>
      <c r="J17" s="16"/>
    </row>
    <row r="18" customFormat="false" ht="15" hidden="false" customHeight="false" outlineLevel="0" collapsed="false">
      <c r="A18" s="15"/>
      <c r="B18" s="16"/>
      <c r="C18" s="16"/>
      <c r="D18" s="16" t="s">
        <v>630</v>
      </c>
      <c r="E18" s="16" t="s">
        <v>631</v>
      </c>
      <c r="F18" s="16" t="s">
        <v>258</v>
      </c>
      <c r="G18" s="65" t="s">
        <v>54</v>
      </c>
      <c r="H18" s="46" t="n">
        <v>8.97</v>
      </c>
      <c r="I18" s="46" t="n">
        <v>1.63</v>
      </c>
      <c r="J18" s="16"/>
    </row>
    <row r="19" customFormat="false" ht="15" hidden="false" customHeight="false" outlineLevel="0" collapsed="false">
      <c r="A19" s="93"/>
      <c r="B19" s="94"/>
      <c r="C19" s="94"/>
      <c r="D19" s="94" t="s">
        <v>632</v>
      </c>
      <c r="E19" s="94" t="s">
        <v>641</v>
      </c>
      <c r="F19" s="94" t="s">
        <v>165</v>
      </c>
      <c r="G19" s="98" t="s">
        <v>54</v>
      </c>
      <c r="H19" s="96" t="n">
        <v>3.23</v>
      </c>
      <c r="I19" s="96" t="n">
        <v>4.53</v>
      </c>
      <c r="J19" s="94"/>
    </row>
    <row r="20" customFormat="false" ht="23.85" hidden="false" customHeight="false" outlineLevel="0" collapsed="false">
      <c r="A20" s="15" t="s">
        <v>660</v>
      </c>
      <c r="B20" s="16" t="s">
        <v>654</v>
      </c>
      <c r="C20" s="16" t="s">
        <v>638</v>
      </c>
      <c r="D20" s="16" t="s">
        <v>634</v>
      </c>
      <c r="E20" s="16" t="s">
        <v>642</v>
      </c>
      <c r="F20" s="16" t="s">
        <v>279</v>
      </c>
      <c r="G20" s="74" t="s">
        <v>54</v>
      </c>
      <c r="H20" s="46" t="n">
        <v>7.47</v>
      </c>
      <c r="I20" s="46" t="n">
        <v>1.96</v>
      </c>
      <c r="J20" s="16" t="s">
        <v>661</v>
      </c>
    </row>
    <row r="21" customFormat="false" ht="15" hidden="false" customHeight="false" outlineLevel="0" collapsed="false">
      <c r="A21" s="15"/>
      <c r="B21" s="16"/>
      <c r="C21" s="16"/>
      <c r="D21" s="16" t="s">
        <v>656</v>
      </c>
      <c r="E21" s="16" t="s">
        <v>657</v>
      </c>
      <c r="F21" s="16" t="s">
        <v>258</v>
      </c>
      <c r="G21" s="65" t="s">
        <v>54</v>
      </c>
      <c r="H21" s="46" t="n">
        <v>8.97</v>
      </c>
      <c r="I21" s="46" t="n">
        <v>1.63</v>
      </c>
      <c r="J21" s="16"/>
    </row>
    <row r="22" customFormat="false" ht="15" hidden="false" customHeight="false" outlineLevel="0" collapsed="false">
      <c r="A22" s="15"/>
      <c r="B22" s="16"/>
      <c r="C22" s="16"/>
      <c r="D22" s="16" t="s">
        <v>627</v>
      </c>
      <c r="E22" s="16" t="s">
        <v>639</v>
      </c>
      <c r="F22" s="16" t="s">
        <v>250</v>
      </c>
      <c r="G22" s="62" t="s">
        <v>54</v>
      </c>
      <c r="H22" s="46" t="n">
        <v>3.23</v>
      </c>
      <c r="I22" s="46" t="n">
        <v>4.53</v>
      </c>
      <c r="J22" s="16"/>
    </row>
    <row r="23" customFormat="false" ht="15" hidden="false" customHeight="false" outlineLevel="0" collapsed="false">
      <c r="A23" s="15"/>
      <c r="B23" s="16"/>
      <c r="C23" s="16"/>
      <c r="D23" s="16" t="s">
        <v>630</v>
      </c>
      <c r="E23" s="16" t="s">
        <v>662</v>
      </c>
      <c r="F23" s="16" t="s">
        <v>258</v>
      </c>
      <c r="G23" s="65" t="s">
        <v>54</v>
      </c>
      <c r="H23" s="46" t="n">
        <v>8.97</v>
      </c>
      <c r="I23" s="46" t="n">
        <v>1.63</v>
      </c>
      <c r="J23" s="16"/>
    </row>
    <row r="24" customFormat="false" ht="15" hidden="false" customHeight="false" outlineLevel="0" collapsed="false">
      <c r="A24" s="93"/>
      <c r="B24" s="94"/>
      <c r="C24" s="94"/>
      <c r="D24" s="94" t="s">
        <v>632</v>
      </c>
      <c r="E24" s="94" t="s">
        <v>641</v>
      </c>
      <c r="F24" s="94" t="s">
        <v>165</v>
      </c>
      <c r="G24" s="98" t="s">
        <v>54</v>
      </c>
      <c r="H24" s="96" t="n">
        <v>3.23</v>
      </c>
      <c r="I24" s="96" t="n">
        <v>4.53</v>
      </c>
      <c r="J24" s="94"/>
    </row>
    <row r="25" customFormat="false" ht="15" hidden="false" customHeight="false" outlineLevel="0" collapsed="false">
      <c r="A25" s="15" t="s">
        <v>663</v>
      </c>
      <c r="B25" s="16" t="s">
        <v>654</v>
      </c>
      <c r="C25" s="16" t="s">
        <v>645</v>
      </c>
      <c r="D25" s="16" t="s">
        <v>664</v>
      </c>
      <c r="E25" s="16" t="s">
        <v>665</v>
      </c>
      <c r="F25" s="16" t="s">
        <v>165</v>
      </c>
      <c r="G25" s="68" t="s">
        <v>54</v>
      </c>
      <c r="H25" s="46" t="n">
        <v>3.23</v>
      </c>
      <c r="I25" s="46" t="n">
        <v>4.53</v>
      </c>
      <c r="J25" s="16" t="s">
        <v>666</v>
      </c>
    </row>
    <row r="26" customFormat="false" ht="15" hidden="false" customHeight="false" outlineLevel="0" collapsed="false">
      <c r="A26" s="15"/>
      <c r="B26" s="16"/>
      <c r="C26" s="16"/>
      <c r="D26" s="16" t="s">
        <v>656</v>
      </c>
      <c r="E26" s="16" t="s">
        <v>667</v>
      </c>
      <c r="F26" s="16" t="s">
        <v>272</v>
      </c>
      <c r="G26" s="71" t="s">
        <v>54</v>
      </c>
      <c r="H26" s="46" t="n">
        <v>3.25</v>
      </c>
      <c r="I26" s="46" t="n">
        <v>4.5</v>
      </c>
      <c r="J26" s="16"/>
    </row>
    <row r="27" customFormat="false" ht="15" hidden="false" customHeight="false" outlineLevel="0" collapsed="false">
      <c r="A27" s="93"/>
      <c r="B27" s="94"/>
      <c r="C27" s="94"/>
      <c r="D27" s="94" t="s">
        <v>668</v>
      </c>
      <c r="E27" s="94" t="s">
        <v>669</v>
      </c>
      <c r="F27" s="94" t="s">
        <v>250</v>
      </c>
      <c r="G27" s="99" t="s">
        <v>54</v>
      </c>
      <c r="H27" s="96" t="n">
        <v>3.23</v>
      </c>
      <c r="I27" s="96" t="n">
        <v>4.53</v>
      </c>
      <c r="J27" s="94"/>
    </row>
    <row r="28" customFormat="false" ht="23.85" hidden="false" customHeight="false" outlineLevel="0" collapsed="false">
      <c r="A28" s="15" t="s">
        <v>532</v>
      </c>
      <c r="B28" s="16" t="s">
        <v>625</v>
      </c>
      <c r="C28" s="16" t="s">
        <v>670</v>
      </c>
      <c r="D28" s="16" t="s">
        <v>632</v>
      </c>
      <c r="E28" s="16" t="s">
        <v>671</v>
      </c>
      <c r="F28" s="16" t="s">
        <v>162</v>
      </c>
      <c r="G28" s="43" t="s">
        <v>54</v>
      </c>
      <c r="H28" s="46" t="n">
        <v>5.29</v>
      </c>
      <c r="I28" s="46" t="n">
        <v>2.77</v>
      </c>
      <c r="J28" s="16" t="s">
        <v>672</v>
      </c>
    </row>
    <row r="29" customFormat="false" ht="15" hidden="false" customHeight="false" outlineLevel="0" collapsed="false">
      <c r="A29" s="15"/>
      <c r="B29" s="16"/>
      <c r="C29" s="16"/>
      <c r="D29" s="16" t="s">
        <v>630</v>
      </c>
      <c r="E29" s="16" t="s">
        <v>673</v>
      </c>
      <c r="F29" s="16" t="s">
        <v>177</v>
      </c>
      <c r="G29" s="47" t="s">
        <v>54</v>
      </c>
      <c r="H29" s="46" t="n">
        <v>6.46</v>
      </c>
      <c r="I29" s="46" t="n">
        <v>2.26</v>
      </c>
      <c r="J29" s="16"/>
    </row>
    <row r="30" customFormat="false" ht="15" hidden="false" customHeight="false" outlineLevel="0" collapsed="false">
      <c r="A30" s="93"/>
      <c r="B30" s="94"/>
      <c r="C30" s="94"/>
      <c r="D30" s="94" t="s">
        <v>627</v>
      </c>
      <c r="E30" s="94" t="s">
        <v>662</v>
      </c>
      <c r="F30" s="94" t="s">
        <v>157</v>
      </c>
      <c r="G30" s="100" t="s">
        <v>54</v>
      </c>
      <c r="H30" s="96" t="n">
        <v>7.61</v>
      </c>
      <c r="I30" s="96" t="n">
        <v>1.92</v>
      </c>
      <c r="J30" s="94"/>
    </row>
    <row r="31" customFormat="false" ht="15" hidden="false" customHeight="false" outlineLevel="0" collapsed="false">
      <c r="A31" s="15" t="s">
        <v>674</v>
      </c>
      <c r="B31" s="16" t="s">
        <v>625</v>
      </c>
      <c r="C31" s="16" t="s">
        <v>520</v>
      </c>
      <c r="D31" s="16" t="s">
        <v>627</v>
      </c>
      <c r="E31" s="16" t="s">
        <v>675</v>
      </c>
      <c r="F31" s="16" t="s">
        <v>157</v>
      </c>
      <c r="G31" s="41" t="s">
        <v>54</v>
      </c>
      <c r="H31" s="46" t="n">
        <v>7.61</v>
      </c>
      <c r="I31" s="46" t="n">
        <v>1.92</v>
      </c>
      <c r="J31" s="16" t="s">
        <v>676</v>
      </c>
    </row>
    <row r="32" customFormat="false" ht="15" hidden="false" customHeight="false" outlineLevel="0" collapsed="false">
      <c r="A32" s="15"/>
      <c r="B32" s="16"/>
      <c r="C32" s="16"/>
      <c r="D32" s="16" t="s">
        <v>630</v>
      </c>
      <c r="E32" s="16" t="s">
        <v>677</v>
      </c>
      <c r="F32" s="16" t="s">
        <v>180</v>
      </c>
      <c r="G32" s="48" t="s">
        <v>54</v>
      </c>
      <c r="H32" s="46" t="n">
        <v>5.69</v>
      </c>
      <c r="I32" s="46" t="n">
        <v>2.57</v>
      </c>
      <c r="J32" s="16"/>
    </row>
    <row r="33" customFormat="false" ht="15" hidden="false" customHeight="false" outlineLevel="0" collapsed="false">
      <c r="A33" s="93"/>
      <c r="B33" s="94"/>
      <c r="C33" s="94"/>
      <c r="D33" s="94" t="s">
        <v>632</v>
      </c>
      <c r="E33" s="94" t="s">
        <v>662</v>
      </c>
      <c r="F33" s="94" t="s">
        <v>162</v>
      </c>
      <c r="G33" s="97" t="s">
        <v>54</v>
      </c>
      <c r="H33" s="96" t="n">
        <v>5.29</v>
      </c>
      <c r="I33" s="96" t="n">
        <v>2.77</v>
      </c>
      <c r="J33" s="94"/>
    </row>
    <row r="34" customFormat="false" ht="15" hidden="false" customHeight="false" outlineLevel="0" collapsed="false">
      <c r="A34" s="15" t="s">
        <v>600</v>
      </c>
      <c r="B34" s="16" t="s">
        <v>625</v>
      </c>
      <c r="C34" s="16" t="s">
        <v>678</v>
      </c>
      <c r="D34" s="16" t="s">
        <v>627</v>
      </c>
      <c r="E34" s="16" t="s">
        <v>679</v>
      </c>
      <c r="F34" s="16" t="s">
        <v>157</v>
      </c>
      <c r="G34" s="41" t="s">
        <v>54</v>
      </c>
      <c r="H34" s="46" t="n">
        <v>7.61</v>
      </c>
      <c r="I34" s="46" t="n">
        <v>1.92</v>
      </c>
      <c r="J34" s="16" t="s">
        <v>680</v>
      </c>
    </row>
    <row r="35" customFormat="false" ht="15" hidden="false" customHeight="false" outlineLevel="0" collapsed="false">
      <c r="A35" s="15"/>
      <c r="B35" s="16"/>
      <c r="C35" s="16"/>
      <c r="D35" s="16" t="s">
        <v>630</v>
      </c>
      <c r="E35" s="16" t="s">
        <v>631</v>
      </c>
      <c r="F35" s="16" t="s">
        <v>177</v>
      </c>
      <c r="G35" s="47" t="s">
        <v>54</v>
      </c>
      <c r="H35" s="46" t="n">
        <v>6.46</v>
      </c>
      <c r="I35" s="46" t="n">
        <v>2.26</v>
      </c>
      <c r="J35" s="16"/>
    </row>
    <row r="36" customFormat="false" ht="15" hidden="false" customHeight="false" outlineLevel="0" collapsed="false">
      <c r="A36" s="93"/>
      <c r="B36" s="94"/>
      <c r="C36" s="94"/>
      <c r="D36" s="94" t="s">
        <v>632</v>
      </c>
      <c r="E36" s="94" t="s">
        <v>681</v>
      </c>
      <c r="F36" s="94" t="s">
        <v>162</v>
      </c>
      <c r="G36" s="97" t="s">
        <v>54</v>
      </c>
      <c r="H36" s="96" t="n">
        <v>5.29</v>
      </c>
      <c r="I36" s="96" t="n">
        <v>2.77</v>
      </c>
      <c r="J36" s="94"/>
    </row>
    <row r="37" customFormat="false" ht="15" hidden="false" customHeight="false" outlineLevel="0" collapsed="false">
      <c r="A37" s="15" t="s">
        <v>605</v>
      </c>
      <c r="B37" s="16" t="s">
        <v>625</v>
      </c>
      <c r="C37" s="16" t="s">
        <v>682</v>
      </c>
      <c r="D37" s="16" t="s">
        <v>627</v>
      </c>
      <c r="E37" s="16" t="s">
        <v>683</v>
      </c>
      <c r="F37" s="16" t="s">
        <v>157</v>
      </c>
      <c r="G37" s="41" t="s">
        <v>54</v>
      </c>
      <c r="H37" s="46" t="n">
        <v>7.61</v>
      </c>
      <c r="I37" s="46" t="n">
        <v>1.92</v>
      </c>
      <c r="J37" s="16" t="s">
        <v>672</v>
      </c>
    </row>
    <row r="38" customFormat="false" ht="15" hidden="false" customHeight="false" outlineLevel="0" collapsed="false">
      <c r="A38" s="15"/>
      <c r="B38" s="16"/>
      <c r="C38" s="16"/>
      <c r="D38" s="16" t="s">
        <v>630</v>
      </c>
      <c r="E38" s="16" t="s">
        <v>684</v>
      </c>
      <c r="F38" s="16" t="s">
        <v>177</v>
      </c>
      <c r="G38" s="47" t="s">
        <v>54</v>
      </c>
      <c r="H38" s="46" t="n">
        <v>6.46</v>
      </c>
      <c r="I38" s="46" t="n">
        <v>2.26</v>
      </c>
      <c r="J38" s="16"/>
    </row>
    <row r="39" customFormat="false" ht="15" hidden="false" customHeight="false" outlineLevel="0" collapsed="false">
      <c r="A39" s="93"/>
      <c r="B39" s="94"/>
      <c r="C39" s="94"/>
      <c r="D39" s="94" t="s">
        <v>632</v>
      </c>
      <c r="E39" s="94" t="s">
        <v>685</v>
      </c>
      <c r="F39" s="94" t="s">
        <v>162</v>
      </c>
      <c r="G39" s="97" t="s">
        <v>54</v>
      </c>
      <c r="H39" s="96" t="n">
        <v>5.29</v>
      </c>
      <c r="I39" s="96" t="n">
        <v>2.77</v>
      </c>
      <c r="J39" s="94"/>
    </row>
    <row r="41" customFormat="false" ht="15" hidden="false" customHeight="false" outlineLevel="0" collapsed="false">
      <c r="A41" s="4" t="s">
        <v>686</v>
      </c>
    </row>
    <row r="42" customFormat="false" ht="43.5" hidden="false" customHeight="true" outlineLevel="0" collapsed="false">
      <c r="A42" s="12" t="s">
        <v>687</v>
      </c>
      <c r="B42" s="12"/>
      <c r="C42" s="12"/>
      <c r="D42" s="12"/>
      <c r="E42" s="12"/>
      <c r="F42" s="12"/>
      <c r="G42" s="12"/>
      <c r="H42" s="12"/>
      <c r="I42" s="12"/>
      <c r="J42" s="12"/>
    </row>
    <row r="43" customFormat="false" ht="43.5" hidden="false" customHeight="true" outlineLevel="0" collapsed="false">
      <c r="A43" s="12" t="s">
        <v>688</v>
      </c>
      <c r="B43" s="12"/>
      <c r="C43" s="12"/>
      <c r="D43" s="12"/>
      <c r="E43" s="12"/>
      <c r="F43" s="12"/>
      <c r="G43" s="12"/>
      <c r="H43" s="12"/>
      <c r="I43" s="12"/>
      <c r="J43" s="12"/>
    </row>
    <row r="44" customFormat="false" ht="43.5" hidden="false" customHeight="true" outlineLevel="0" collapsed="false">
      <c r="A44" s="12" t="s">
        <v>689</v>
      </c>
      <c r="B44" s="12"/>
      <c r="C44" s="12"/>
      <c r="D44" s="12"/>
      <c r="E44" s="12"/>
      <c r="F44" s="12"/>
      <c r="G44" s="12"/>
      <c r="H44" s="12"/>
      <c r="I44" s="12"/>
      <c r="J44" s="12"/>
    </row>
  </sheetData>
  <mergeCells count="3">
    <mergeCell ref="A42:J42"/>
    <mergeCell ref="A43:J43"/>
    <mergeCell ref="A44:J44"/>
  </mergeCells>
  <conditionalFormatting sqref="H5:H39">
    <cfRule type="cellIs" priority="2" operator="lessThan" aboveAverage="0" equalAverage="0" bottom="0" percent="0" rank="0" text="" dxfId="70">
      <formula>3</formula>
    </cfRule>
  </conditionalFormatting>
  <conditionalFormatting sqref="I5:I39">
    <cfRule type="cellIs" priority="3" operator="lessThan" aboveAverage="0" equalAverage="0" bottom="0" percent="0" rank="0" text="" dxfId="70">
      <formula>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32"/>
    <col collapsed="false" customWidth="true" hidden="false" outlineLevel="0" max="8" min="8" style="0" width="30"/>
    <col collapsed="false" customWidth="true" hidden="false" outlineLevel="0" max="9" min="9" style="0" width="34"/>
    <col collapsed="false" customWidth="true" hidden="false" outlineLevel="0" max="10" min="10" style="0" width="12"/>
    <col collapsed="false" customWidth="true" hidden="false" outlineLevel="0" max="11" min="11" style="0" width="40"/>
    <col collapsed="false" customWidth="true" hidden="false" outlineLevel="0" max="12" min="12" style="0" width="11"/>
    <col collapsed="false" customWidth="true" hidden="false" outlineLevel="0" max="13" min="13" style="0" width="12"/>
  </cols>
  <sheetData>
    <row r="1" customFormat="false" ht="19.7" hidden="false" customHeight="false" outlineLevel="0" collapsed="false">
      <c r="A1" s="1" t="s">
        <v>690</v>
      </c>
    </row>
    <row r="2" customFormat="false" ht="15" hidden="false" customHeight="false" outlineLevel="0" collapsed="false">
      <c r="A2" s="2" t="s">
        <v>691</v>
      </c>
    </row>
    <row r="4" customFormat="false" ht="31.5" hidden="false" customHeight="true" outlineLevel="0" collapsed="false">
      <c r="A4" s="5" t="s">
        <v>322</v>
      </c>
      <c r="B4" s="5" t="s">
        <v>692</v>
      </c>
      <c r="C4" s="5" t="s">
        <v>693</v>
      </c>
      <c r="D4" s="5" t="s">
        <v>694</v>
      </c>
      <c r="E4" s="5" t="s">
        <v>695</v>
      </c>
      <c r="F4" s="5" t="s">
        <v>212</v>
      </c>
      <c r="G4" s="5" t="s">
        <v>696</v>
      </c>
      <c r="H4" s="5" t="s">
        <v>697</v>
      </c>
      <c r="I4" s="5" t="s">
        <v>698</v>
      </c>
      <c r="J4" s="5" t="s">
        <v>699</v>
      </c>
      <c r="K4" s="5" t="s">
        <v>700</v>
      </c>
      <c r="L4" s="5" t="s">
        <v>216</v>
      </c>
      <c r="M4" s="5" t="s">
        <v>217</v>
      </c>
    </row>
    <row r="5" customFormat="false" ht="35.05" hidden="false" customHeight="false" outlineLevel="0" collapsed="false">
      <c r="A5" s="15" t="s">
        <v>701</v>
      </c>
      <c r="B5" s="15" t="s">
        <v>702</v>
      </c>
      <c r="C5" s="16" t="s">
        <v>703</v>
      </c>
      <c r="D5" s="16" t="s">
        <v>704</v>
      </c>
      <c r="E5" s="16" t="s">
        <v>705</v>
      </c>
      <c r="F5" s="56" t="s">
        <v>218</v>
      </c>
      <c r="G5" s="16" t="s">
        <v>706</v>
      </c>
      <c r="H5" s="16" t="s">
        <v>707</v>
      </c>
      <c r="I5" s="16" t="s">
        <v>708</v>
      </c>
      <c r="J5" s="31" t="s">
        <v>104</v>
      </c>
      <c r="K5" s="16" t="s">
        <v>709</v>
      </c>
      <c r="L5" s="16" t="s">
        <v>6</v>
      </c>
      <c r="M5" s="16" t="s">
        <v>220</v>
      </c>
    </row>
    <row r="6" customFormat="false" ht="35.05" hidden="false" customHeight="false" outlineLevel="0" collapsed="false">
      <c r="A6" s="15" t="s">
        <v>710</v>
      </c>
      <c r="B6" s="15" t="s">
        <v>711</v>
      </c>
      <c r="C6" s="16" t="s">
        <v>712</v>
      </c>
      <c r="D6" s="16" t="s">
        <v>713</v>
      </c>
      <c r="E6" s="16" t="s">
        <v>714</v>
      </c>
      <c r="F6" s="56" t="s">
        <v>218</v>
      </c>
      <c r="G6" s="16" t="s">
        <v>706</v>
      </c>
      <c r="H6" s="16" t="s">
        <v>715</v>
      </c>
      <c r="I6" s="16" t="s">
        <v>716</v>
      </c>
      <c r="J6" s="31" t="s">
        <v>104</v>
      </c>
      <c r="K6" s="16" t="s">
        <v>709</v>
      </c>
      <c r="L6" s="16" t="s">
        <v>6</v>
      </c>
      <c r="M6" s="16" t="s">
        <v>220</v>
      </c>
    </row>
    <row r="7" customFormat="false" ht="46.25" hidden="false" customHeight="false" outlineLevel="0" collapsed="false">
      <c r="A7" s="15" t="s">
        <v>717</v>
      </c>
      <c r="B7" s="15" t="s">
        <v>718</v>
      </c>
      <c r="C7" s="16" t="s">
        <v>719</v>
      </c>
      <c r="D7" s="16" t="s">
        <v>713</v>
      </c>
      <c r="E7" s="16" t="s">
        <v>221</v>
      </c>
      <c r="F7" s="57" t="s">
        <v>221</v>
      </c>
      <c r="G7" s="16" t="s">
        <v>706</v>
      </c>
      <c r="H7" s="16" t="s">
        <v>720</v>
      </c>
      <c r="I7" s="16" t="s">
        <v>157</v>
      </c>
      <c r="J7" s="41" t="s">
        <v>157</v>
      </c>
      <c r="K7" s="16" t="s">
        <v>721</v>
      </c>
      <c r="L7" s="16" t="s">
        <v>6</v>
      </c>
      <c r="M7" s="16" t="s">
        <v>220</v>
      </c>
    </row>
    <row r="8" customFormat="false" ht="46.25" hidden="false" customHeight="false" outlineLevel="0" collapsed="false">
      <c r="A8" s="15" t="s">
        <v>722</v>
      </c>
      <c r="B8" s="15" t="s">
        <v>723</v>
      </c>
      <c r="C8" s="16" t="s">
        <v>724</v>
      </c>
      <c r="D8" s="16" t="s">
        <v>704</v>
      </c>
      <c r="E8" s="16" t="s">
        <v>725</v>
      </c>
      <c r="F8" s="76" t="s">
        <v>287</v>
      </c>
      <c r="G8" s="16" t="s">
        <v>706</v>
      </c>
      <c r="H8" s="16" t="s">
        <v>726</v>
      </c>
      <c r="I8" s="16" t="s">
        <v>727</v>
      </c>
      <c r="J8" s="41" t="s">
        <v>157</v>
      </c>
      <c r="K8" s="16" t="s">
        <v>728</v>
      </c>
      <c r="L8" s="16" t="s">
        <v>6</v>
      </c>
      <c r="M8" s="16" t="s">
        <v>220</v>
      </c>
    </row>
    <row r="9" customFormat="false" ht="35.05" hidden="false" customHeight="false" outlineLevel="0" collapsed="false">
      <c r="A9" s="15" t="s">
        <v>729</v>
      </c>
      <c r="B9" s="15" t="s">
        <v>730</v>
      </c>
      <c r="C9" s="16" t="s">
        <v>731</v>
      </c>
      <c r="D9" s="16" t="s">
        <v>713</v>
      </c>
      <c r="E9" s="16" t="s">
        <v>714</v>
      </c>
      <c r="F9" s="56" t="s">
        <v>218</v>
      </c>
      <c r="G9" s="16" t="s">
        <v>706</v>
      </c>
      <c r="H9" s="16" t="s">
        <v>732</v>
      </c>
      <c r="I9" s="16" t="s">
        <v>733</v>
      </c>
      <c r="J9" s="31" t="s">
        <v>104</v>
      </c>
      <c r="K9" s="16" t="s">
        <v>709</v>
      </c>
      <c r="L9" s="16" t="s">
        <v>7</v>
      </c>
      <c r="M9" s="16" t="s">
        <v>220</v>
      </c>
    </row>
    <row r="10" customFormat="false" ht="35.05" hidden="false" customHeight="false" outlineLevel="0" collapsed="false">
      <c r="A10" s="15" t="s">
        <v>734</v>
      </c>
      <c r="B10" s="15" t="s">
        <v>735</v>
      </c>
      <c r="C10" s="16" t="s">
        <v>736</v>
      </c>
      <c r="D10" s="16" t="s">
        <v>713</v>
      </c>
      <c r="E10" s="16" t="s">
        <v>221</v>
      </c>
      <c r="F10" s="57" t="s">
        <v>221</v>
      </c>
      <c r="G10" s="16" t="s">
        <v>706</v>
      </c>
      <c r="H10" s="16" t="s">
        <v>737</v>
      </c>
      <c r="I10" s="16" t="s">
        <v>157</v>
      </c>
      <c r="J10" s="41" t="s">
        <v>157</v>
      </c>
      <c r="K10" s="16" t="s">
        <v>709</v>
      </c>
      <c r="L10" s="16" t="s">
        <v>7</v>
      </c>
      <c r="M10" s="16" t="s">
        <v>220</v>
      </c>
    </row>
    <row r="11" customFormat="false" ht="35.05" hidden="false" customHeight="false" outlineLevel="0" collapsed="false">
      <c r="A11" s="15" t="s">
        <v>738</v>
      </c>
      <c r="B11" s="15" t="s">
        <v>739</v>
      </c>
      <c r="C11" s="16" t="s">
        <v>740</v>
      </c>
      <c r="D11" s="16" t="s">
        <v>704</v>
      </c>
      <c r="E11" s="16" t="s">
        <v>741</v>
      </c>
      <c r="F11" s="68" t="s">
        <v>165</v>
      </c>
      <c r="G11" s="16" t="s">
        <v>706</v>
      </c>
      <c r="H11" s="16" t="s">
        <v>742</v>
      </c>
      <c r="I11" s="16" t="s">
        <v>743</v>
      </c>
      <c r="J11" s="31" t="s">
        <v>104</v>
      </c>
      <c r="K11" s="16" t="s">
        <v>709</v>
      </c>
      <c r="L11" s="16" t="s">
        <v>7</v>
      </c>
      <c r="M11" s="16" t="s">
        <v>220</v>
      </c>
    </row>
    <row r="12" customFormat="false" ht="35.05" hidden="false" customHeight="false" outlineLevel="0" collapsed="false">
      <c r="A12" s="15" t="s">
        <v>744</v>
      </c>
      <c r="B12" s="15" t="s">
        <v>745</v>
      </c>
      <c r="C12" s="16" t="s">
        <v>746</v>
      </c>
      <c r="D12" s="16" t="s">
        <v>747</v>
      </c>
      <c r="E12" s="16" t="s">
        <v>748</v>
      </c>
      <c r="F12" s="80" t="s">
        <v>299</v>
      </c>
      <c r="G12" s="16" t="s">
        <v>749</v>
      </c>
      <c r="H12" s="16" t="s">
        <v>750</v>
      </c>
      <c r="I12" s="16" t="s">
        <v>751</v>
      </c>
      <c r="J12" s="50" t="s">
        <v>191</v>
      </c>
      <c r="K12" s="16" t="s">
        <v>752</v>
      </c>
      <c r="L12" s="16" t="s">
        <v>7</v>
      </c>
      <c r="M12" s="16" t="s">
        <v>220</v>
      </c>
    </row>
    <row r="13" customFormat="false" ht="35.05" hidden="false" customHeight="false" outlineLevel="0" collapsed="false">
      <c r="A13" s="15" t="s">
        <v>753</v>
      </c>
      <c r="B13" s="15" t="s">
        <v>754</v>
      </c>
      <c r="C13" s="16" t="s">
        <v>755</v>
      </c>
      <c r="D13" s="16" t="s">
        <v>713</v>
      </c>
      <c r="E13" s="16" t="s">
        <v>756</v>
      </c>
      <c r="F13" s="75" t="s">
        <v>284</v>
      </c>
      <c r="G13" s="16" t="s">
        <v>757</v>
      </c>
      <c r="H13" s="16" t="s">
        <v>758</v>
      </c>
      <c r="I13" s="16" t="s">
        <v>759</v>
      </c>
      <c r="J13" s="47" t="s">
        <v>177</v>
      </c>
      <c r="K13" s="16" t="s">
        <v>709</v>
      </c>
      <c r="L13" s="16" t="s">
        <v>7</v>
      </c>
      <c r="M13" s="16" t="s">
        <v>220</v>
      </c>
    </row>
    <row r="14" customFormat="false" ht="35.05" hidden="false" customHeight="false" outlineLevel="0" collapsed="false">
      <c r="A14" s="15" t="s">
        <v>760</v>
      </c>
      <c r="B14" s="15" t="s">
        <v>761</v>
      </c>
      <c r="C14" s="16" t="s">
        <v>762</v>
      </c>
      <c r="D14" s="16" t="s">
        <v>713</v>
      </c>
      <c r="E14" s="16" t="s">
        <v>714</v>
      </c>
      <c r="F14" s="56" t="s">
        <v>218</v>
      </c>
      <c r="G14" s="16" t="s">
        <v>706</v>
      </c>
      <c r="H14" s="16" t="s">
        <v>732</v>
      </c>
      <c r="I14" s="16" t="s">
        <v>733</v>
      </c>
      <c r="J14" s="31" t="s">
        <v>104</v>
      </c>
      <c r="K14" s="16" t="s">
        <v>709</v>
      </c>
      <c r="L14" s="16" t="s">
        <v>7</v>
      </c>
      <c r="M14" s="16" t="s">
        <v>220</v>
      </c>
    </row>
    <row r="15" customFormat="false" ht="35.05" hidden="false" customHeight="false" outlineLevel="0" collapsed="false">
      <c r="A15" s="15" t="s">
        <v>763</v>
      </c>
      <c r="B15" s="15" t="s">
        <v>764</v>
      </c>
      <c r="C15" s="16" t="s">
        <v>765</v>
      </c>
      <c r="D15" s="16" t="s">
        <v>713</v>
      </c>
      <c r="E15" s="16" t="s">
        <v>221</v>
      </c>
      <c r="F15" s="57" t="s">
        <v>221</v>
      </c>
      <c r="G15" s="16" t="s">
        <v>706</v>
      </c>
      <c r="H15" s="16" t="s">
        <v>737</v>
      </c>
      <c r="I15" s="16" t="s">
        <v>157</v>
      </c>
      <c r="J15" s="41" t="s">
        <v>157</v>
      </c>
      <c r="K15" s="16" t="s">
        <v>709</v>
      </c>
      <c r="L15" s="16" t="s">
        <v>7</v>
      </c>
      <c r="M15" s="16" t="s">
        <v>220</v>
      </c>
    </row>
    <row r="17" customFormat="false" ht="15" hidden="false" customHeight="false" outlineLevel="0" collapsed="false">
      <c r="A17" s="4" t="s">
        <v>766</v>
      </c>
    </row>
    <row r="18" customFormat="false" ht="15" hidden="false" customHeight="false" outlineLevel="0" collapsed="false">
      <c r="B18" s="10" t="s">
        <v>767</v>
      </c>
      <c r="C18" s="56" t="s">
        <v>218</v>
      </c>
      <c r="D18" s="57" t="s">
        <v>221</v>
      </c>
      <c r="E18" s="80" t="s">
        <v>299</v>
      </c>
      <c r="F18" s="68" t="s">
        <v>165</v>
      </c>
      <c r="G18" s="35" t="s">
        <v>114</v>
      </c>
      <c r="H18" s="75" t="s">
        <v>284</v>
      </c>
      <c r="I18" s="81" t="s">
        <v>302</v>
      </c>
      <c r="J18" s="82" t="s">
        <v>305</v>
      </c>
    </row>
    <row r="19" customFormat="false" ht="15" hidden="false" customHeight="false" outlineLevel="0" collapsed="false">
      <c r="B19" s="10" t="s">
        <v>768</v>
      </c>
      <c r="C19" s="31" t="s">
        <v>104</v>
      </c>
      <c r="D19" s="50" t="s">
        <v>191</v>
      </c>
      <c r="E19" s="43" t="s">
        <v>162</v>
      </c>
      <c r="F19" s="47" t="s">
        <v>177</v>
      </c>
      <c r="G19" s="41" t="s">
        <v>157</v>
      </c>
      <c r="H19" s="101" t="s">
        <v>769</v>
      </c>
      <c r="I19" s="76" t="s">
        <v>770</v>
      </c>
      <c r="J19" s="83" t="s">
        <v>306</v>
      </c>
      <c r="K19" s="34" t="s">
        <v>113</v>
      </c>
      <c r="L19" s="102" t="s">
        <v>771</v>
      </c>
      <c r="M19" s="103" t="s">
        <v>772</v>
      </c>
      <c r="N19" s="104" t="s">
        <v>773</v>
      </c>
    </row>
  </sheetData>
  <autoFilter ref="A4:M15"/>
  <conditionalFormatting sqref="L5:L15">
    <cfRule type="cellIs" priority="2" operator="equal" aboveAverage="0" equalAverage="0" bottom="0" percent="0" rank="0" text="" dxfId="61">
      <formula>"Alta"</formula>
    </cfRule>
    <cfRule type="cellIs" priority="3" operator="equal" aboveAverage="0" equalAverage="0" bottom="0" percent="0" rank="0" text="" dxfId="62">
      <formula>"Média"</formula>
    </cfRule>
    <cfRule type="cellIs" priority="4" operator="equal" aboveAverage="0" equalAverage="0" bottom="0" percent="0" rank="0" text="" dxfId="63">
      <formula>"Baixa"</formula>
    </cfRule>
  </conditionalFormatting>
  <conditionalFormatting sqref="M5:M15">
    <cfRule type="cellIs" priority="5" operator="equal" aboveAverage="0" equalAverage="0" bottom="0" percent="0" rank="0" text="" dxfId="64">
      <formula>"Feito"</formula>
    </cfRule>
    <cfRule type="cellIs" priority="6" operator="equal" aboveAverage="0" equalAverage="0" bottom="0" percent="0" rank="0" text="" dxfId="65">
      <formula>"Em curso"</formula>
    </cfRule>
  </conditionalFormatting>
  <dataValidations count="2">
    <dataValidation allowBlank="true" errorStyle="stop" operator="between" showDropDown="false" showErrorMessage="false" showInputMessage="false" sqref="L5:L15" type="list">
      <formula1>"Alta,Média,Baixa"</formula1>
      <formula2>0</formula2>
    </dataValidation>
    <dataValidation allowBlank="true" errorStyle="stop" operator="between" showDropDown="false" showErrorMessage="false" showInputMessage="false" sqref="M5:M15" type="list">
      <formula1>"Por fazer,Em curso,Feito,Não aplicar"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4" min="3" style="0" width="46"/>
    <col collapsed="false" customWidth="true" hidden="false" outlineLevel="0" max="5" min="5" style="0" width="34"/>
    <col collapsed="false" customWidth="true" hidden="false" outlineLevel="0" max="6" min="6" style="0" width="48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1" t="s">
        <v>774</v>
      </c>
    </row>
    <row r="2" customFormat="false" ht="15" hidden="false" customHeight="false" outlineLevel="0" collapsed="false">
      <c r="A2" s="2" t="s">
        <v>775</v>
      </c>
    </row>
    <row r="4" customFormat="false" ht="31.5" hidden="false" customHeight="true" outlineLevel="0" collapsed="false">
      <c r="A4" s="5" t="s">
        <v>322</v>
      </c>
      <c r="B4" s="5" t="s">
        <v>504</v>
      </c>
      <c r="C4" s="5" t="s">
        <v>776</v>
      </c>
      <c r="D4" s="5" t="s">
        <v>777</v>
      </c>
      <c r="E4" s="5" t="s">
        <v>778</v>
      </c>
      <c r="F4" s="5" t="s">
        <v>779</v>
      </c>
      <c r="G4" s="5" t="s">
        <v>216</v>
      </c>
      <c r="H4" s="5" t="s">
        <v>337</v>
      </c>
      <c r="I4" s="5" t="s">
        <v>217</v>
      </c>
    </row>
    <row r="5" customFormat="false" ht="35.05" hidden="false" customHeight="false" outlineLevel="0" collapsed="false">
      <c r="A5" s="15" t="s">
        <v>780</v>
      </c>
      <c r="B5" s="15" t="s">
        <v>781</v>
      </c>
      <c r="C5" s="16" t="s">
        <v>782</v>
      </c>
      <c r="D5" s="16" t="s">
        <v>783</v>
      </c>
      <c r="E5" s="16" t="s">
        <v>784</v>
      </c>
      <c r="F5" s="16" t="s">
        <v>785</v>
      </c>
      <c r="G5" s="16" t="s">
        <v>6</v>
      </c>
      <c r="H5" s="16" t="s">
        <v>365</v>
      </c>
      <c r="I5" s="16" t="s">
        <v>220</v>
      </c>
    </row>
    <row r="6" customFormat="false" ht="35.05" hidden="false" customHeight="false" outlineLevel="0" collapsed="false">
      <c r="A6" s="15" t="s">
        <v>786</v>
      </c>
      <c r="B6" s="15" t="s">
        <v>787</v>
      </c>
      <c r="C6" s="16" t="s">
        <v>788</v>
      </c>
      <c r="D6" s="16" t="s">
        <v>789</v>
      </c>
      <c r="E6" s="16" t="s">
        <v>790</v>
      </c>
      <c r="F6" s="16" t="s">
        <v>791</v>
      </c>
      <c r="G6" s="16" t="s">
        <v>6</v>
      </c>
      <c r="H6" s="16" t="s">
        <v>351</v>
      </c>
      <c r="I6" s="16" t="s">
        <v>220</v>
      </c>
    </row>
    <row r="7" customFormat="false" ht="35.05" hidden="false" customHeight="false" outlineLevel="0" collapsed="false">
      <c r="A7" s="15" t="s">
        <v>792</v>
      </c>
      <c r="B7" s="15" t="s">
        <v>549</v>
      </c>
      <c r="C7" s="16" t="s">
        <v>793</v>
      </c>
      <c r="D7" s="16" t="s">
        <v>794</v>
      </c>
      <c r="E7" s="16" t="s">
        <v>795</v>
      </c>
      <c r="F7" s="16" t="s">
        <v>796</v>
      </c>
      <c r="G7" s="16" t="s">
        <v>6</v>
      </c>
      <c r="H7" s="16" t="s">
        <v>351</v>
      </c>
      <c r="I7" s="16" t="s">
        <v>220</v>
      </c>
    </row>
    <row r="8" customFormat="false" ht="23.85" hidden="false" customHeight="false" outlineLevel="0" collapsed="false">
      <c r="A8" s="15" t="s">
        <v>797</v>
      </c>
      <c r="B8" s="15" t="s">
        <v>798</v>
      </c>
      <c r="C8" s="16" t="s">
        <v>788</v>
      </c>
      <c r="D8" s="16" t="s">
        <v>799</v>
      </c>
      <c r="E8" s="16" t="s">
        <v>790</v>
      </c>
      <c r="F8" s="16" t="s">
        <v>800</v>
      </c>
      <c r="G8" s="16" t="s">
        <v>7</v>
      </c>
      <c r="H8" s="16" t="s">
        <v>351</v>
      </c>
      <c r="I8" s="16" t="s">
        <v>220</v>
      </c>
    </row>
    <row r="9" customFormat="false" ht="35.05" hidden="false" customHeight="false" outlineLevel="0" collapsed="false">
      <c r="A9" s="15" t="s">
        <v>801</v>
      </c>
      <c r="B9" s="15" t="s">
        <v>802</v>
      </c>
      <c r="C9" s="16" t="s">
        <v>803</v>
      </c>
      <c r="D9" s="16" t="s">
        <v>804</v>
      </c>
      <c r="E9" s="16" t="s">
        <v>805</v>
      </c>
      <c r="F9" s="16" t="s">
        <v>806</v>
      </c>
      <c r="G9" s="16" t="s">
        <v>6</v>
      </c>
      <c r="H9" s="16" t="s">
        <v>351</v>
      </c>
      <c r="I9" s="16" t="s">
        <v>220</v>
      </c>
    </row>
    <row r="10" customFormat="false" ht="35.05" hidden="false" customHeight="false" outlineLevel="0" collapsed="false">
      <c r="A10" s="15" t="s">
        <v>807</v>
      </c>
      <c r="B10" s="15" t="s">
        <v>808</v>
      </c>
      <c r="C10" s="16" t="s">
        <v>809</v>
      </c>
      <c r="D10" s="16" t="s">
        <v>810</v>
      </c>
      <c r="E10" s="16" t="s">
        <v>811</v>
      </c>
      <c r="F10" s="16" t="s">
        <v>812</v>
      </c>
      <c r="G10" s="16" t="s">
        <v>7</v>
      </c>
      <c r="H10" s="16" t="s">
        <v>351</v>
      </c>
      <c r="I10" s="16" t="s">
        <v>220</v>
      </c>
    </row>
    <row r="11" customFormat="false" ht="35.05" hidden="false" customHeight="false" outlineLevel="0" collapsed="false">
      <c r="A11" s="15" t="s">
        <v>813</v>
      </c>
      <c r="B11" s="15" t="s">
        <v>814</v>
      </c>
      <c r="C11" s="16" t="s">
        <v>815</v>
      </c>
      <c r="D11" s="16" t="s">
        <v>816</v>
      </c>
      <c r="E11" s="16" t="s">
        <v>817</v>
      </c>
      <c r="F11" s="16" t="s">
        <v>818</v>
      </c>
      <c r="G11" s="16" t="s">
        <v>7</v>
      </c>
      <c r="H11" s="16" t="s">
        <v>365</v>
      </c>
      <c r="I11" s="16" t="s">
        <v>220</v>
      </c>
    </row>
    <row r="12" customFormat="false" ht="46.25" hidden="false" customHeight="false" outlineLevel="0" collapsed="false">
      <c r="A12" s="15" t="s">
        <v>819</v>
      </c>
      <c r="B12" s="15" t="s">
        <v>820</v>
      </c>
      <c r="C12" s="16" t="s">
        <v>821</v>
      </c>
      <c r="D12" s="16" t="s">
        <v>822</v>
      </c>
      <c r="E12" s="16" t="s">
        <v>823</v>
      </c>
      <c r="F12" s="16" t="s">
        <v>824</v>
      </c>
      <c r="G12" s="16" t="s">
        <v>6</v>
      </c>
      <c r="H12" s="16" t="s">
        <v>351</v>
      </c>
      <c r="I12" s="16" t="s">
        <v>220</v>
      </c>
    </row>
    <row r="13" customFormat="false" ht="35.05" hidden="false" customHeight="false" outlineLevel="0" collapsed="false">
      <c r="A13" s="15" t="s">
        <v>825</v>
      </c>
      <c r="B13" s="15" t="s">
        <v>826</v>
      </c>
      <c r="C13" s="16" t="s">
        <v>827</v>
      </c>
      <c r="D13" s="16" t="s">
        <v>828</v>
      </c>
      <c r="E13" s="16" t="s">
        <v>829</v>
      </c>
      <c r="F13" s="16" t="s">
        <v>830</v>
      </c>
      <c r="G13" s="16" t="s">
        <v>7</v>
      </c>
      <c r="H13" s="16" t="s">
        <v>351</v>
      </c>
      <c r="I13" s="16" t="s">
        <v>220</v>
      </c>
    </row>
    <row r="14" customFormat="false" ht="35.05" hidden="false" customHeight="false" outlineLevel="0" collapsed="false">
      <c r="A14" s="15" t="s">
        <v>831</v>
      </c>
      <c r="B14" s="15" t="s">
        <v>832</v>
      </c>
      <c r="C14" s="16" t="s">
        <v>833</v>
      </c>
      <c r="D14" s="16" t="s">
        <v>834</v>
      </c>
      <c r="E14" s="16" t="s">
        <v>835</v>
      </c>
      <c r="F14" s="16" t="s">
        <v>836</v>
      </c>
      <c r="G14" s="16" t="s">
        <v>6</v>
      </c>
      <c r="H14" s="16" t="s">
        <v>365</v>
      </c>
      <c r="I14" s="16" t="s">
        <v>220</v>
      </c>
    </row>
    <row r="15" customFormat="false" ht="23.85" hidden="false" customHeight="false" outlineLevel="0" collapsed="false">
      <c r="A15" s="15" t="s">
        <v>837</v>
      </c>
      <c r="B15" s="15" t="s">
        <v>838</v>
      </c>
      <c r="C15" s="16" t="s">
        <v>839</v>
      </c>
      <c r="D15" s="16" t="s">
        <v>840</v>
      </c>
      <c r="E15" s="16" t="s">
        <v>841</v>
      </c>
      <c r="F15" s="16" t="s">
        <v>842</v>
      </c>
      <c r="G15" s="16" t="s">
        <v>7</v>
      </c>
      <c r="H15" s="16" t="s">
        <v>365</v>
      </c>
      <c r="I15" s="16" t="s">
        <v>220</v>
      </c>
    </row>
    <row r="16" customFormat="false" ht="35.05" hidden="false" customHeight="false" outlineLevel="0" collapsed="false">
      <c r="A16" s="15" t="s">
        <v>843</v>
      </c>
      <c r="B16" s="15" t="s">
        <v>844</v>
      </c>
      <c r="C16" s="16" t="s">
        <v>845</v>
      </c>
      <c r="D16" s="16" t="s">
        <v>846</v>
      </c>
      <c r="E16" s="16" t="s">
        <v>847</v>
      </c>
      <c r="F16" s="16" t="s">
        <v>848</v>
      </c>
      <c r="G16" s="16" t="s">
        <v>7</v>
      </c>
      <c r="H16" s="16" t="s">
        <v>351</v>
      </c>
      <c r="I16" s="16" t="s">
        <v>220</v>
      </c>
    </row>
    <row r="17" customFormat="false" ht="23.85" hidden="false" customHeight="false" outlineLevel="0" collapsed="false">
      <c r="A17" s="15" t="s">
        <v>849</v>
      </c>
      <c r="B17" s="15" t="s">
        <v>850</v>
      </c>
      <c r="C17" s="16" t="s">
        <v>851</v>
      </c>
      <c r="D17" s="16" t="s">
        <v>852</v>
      </c>
      <c r="E17" s="16" t="s">
        <v>853</v>
      </c>
      <c r="F17" s="16" t="s">
        <v>854</v>
      </c>
      <c r="G17" s="16" t="s">
        <v>7</v>
      </c>
      <c r="H17" s="16" t="s">
        <v>351</v>
      </c>
      <c r="I17" s="16" t="s">
        <v>220</v>
      </c>
    </row>
    <row r="18" customFormat="false" ht="23.85" hidden="false" customHeight="false" outlineLevel="0" collapsed="false">
      <c r="A18" s="15" t="s">
        <v>855</v>
      </c>
      <c r="B18" s="15" t="s">
        <v>856</v>
      </c>
      <c r="C18" s="16" t="s">
        <v>857</v>
      </c>
      <c r="D18" s="16" t="s">
        <v>858</v>
      </c>
      <c r="E18" s="16" t="s">
        <v>859</v>
      </c>
      <c r="F18" s="16" t="s">
        <v>860</v>
      </c>
      <c r="G18" s="16" t="s">
        <v>8</v>
      </c>
      <c r="H18" s="16" t="s">
        <v>351</v>
      </c>
      <c r="I18" s="16" t="s">
        <v>220</v>
      </c>
    </row>
    <row r="19" customFormat="false" ht="23.85" hidden="false" customHeight="false" outlineLevel="0" collapsed="false">
      <c r="A19" s="15" t="s">
        <v>861</v>
      </c>
      <c r="B19" s="15" t="s">
        <v>862</v>
      </c>
      <c r="C19" s="16" t="s">
        <v>863</v>
      </c>
      <c r="D19" s="16" t="s">
        <v>864</v>
      </c>
      <c r="E19" s="16" t="s">
        <v>865</v>
      </c>
      <c r="F19" s="16" t="s">
        <v>866</v>
      </c>
      <c r="G19" s="16" t="s">
        <v>8</v>
      </c>
      <c r="H19" s="16" t="s">
        <v>351</v>
      </c>
      <c r="I19" s="16" t="s">
        <v>220</v>
      </c>
    </row>
    <row r="20" customFormat="false" ht="35.05" hidden="false" customHeight="false" outlineLevel="0" collapsed="false">
      <c r="A20" s="15" t="s">
        <v>867</v>
      </c>
      <c r="B20" s="15" t="s">
        <v>868</v>
      </c>
      <c r="C20" s="16" t="s">
        <v>869</v>
      </c>
      <c r="D20" s="16" t="s">
        <v>870</v>
      </c>
      <c r="E20" s="16" t="s">
        <v>871</v>
      </c>
      <c r="F20" s="16" t="s">
        <v>872</v>
      </c>
      <c r="G20" s="16" t="s">
        <v>7</v>
      </c>
      <c r="H20" s="16" t="s">
        <v>365</v>
      </c>
      <c r="I20" s="16" t="s">
        <v>220</v>
      </c>
    </row>
    <row r="21" customFormat="false" ht="23.85" hidden="false" customHeight="false" outlineLevel="0" collapsed="false">
      <c r="A21" s="15" t="s">
        <v>873</v>
      </c>
      <c r="B21" s="15" t="s">
        <v>874</v>
      </c>
      <c r="C21" s="16" t="s">
        <v>875</v>
      </c>
      <c r="D21" s="16" t="s">
        <v>876</v>
      </c>
      <c r="E21" s="16" t="s">
        <v>877</v>
      </c>
      <c r="F21" s="16" t="s">
        <v>878</v>
      </c>
      <c r="G21" s="16" t="s">
        <v>8</v>
      </c>
      <c r="H21" s="16" t="s">
        <v>351</v>
      </c>
      <c r="I21" s="16" t="s">
        <v>220</v>
      </c>
    </row>
    <row r="22" customFormat="false" ht="15" hidden="false" customHeight="false" outlineLevel="0" collapsed="false">
      <c r="A22" s="15" t="s">
        <v>879</v>
      </c>
      <c r="B22" s="15" t="s">
        <v>880</v>
      </c>
      <c r="C22" s="16" t="s">
        <v>881</v>
      </c>
      <c r="D22" s="16" t="s">
        <v>882</v>
      </c>
      <c r="E22" s="16" t="s">
        <v>883</v>
      </c>
      <c r="F22" s="16" t="s">
        <v>884</v>
      </c>
      <c r="G22" s="16" t="s">
        <v>8</v>
      </c>
      <c r="H22" s="16" t="s">
        <v>351</v>
      </c>
      <c r="I22" s="16" t="s">
        <v>220</v>
      </c>
    </row>
    <row r="23" customFormat="false" ht="15" hidden="false" customHeight="false" outlineLevel="0" collapsed="false">
      <c r="A23" s="15" t="s">
        <v>885</v>
      </c>
      <c r="B23" s="15" t="s">
        <v>886</v>
      </c>
      <c r="C23" s="16" t="s">
        <v>887</v>
      </c>
      <c r="D23" s="16" t="s">
        <v>788</v>
      </c>
      <c r="E23" s="16" t="s">
        <v>89</v>
      </c>
      <c r="F23" s="16" t="s">
        <v>888</v>
      </c>
      <c r="G23" s="16" t="s">
        <v>8</v>
      </c>
      <c r="H23" s="16" t="s">
        <v>351</v>
      </c>
      <c r="I23" s="16" t="s">
        <v>220</v>
      </c>
    </row>
    <row r="24" customFormat="false" ht="23.85" hidden="false" customHeight="false" outlineLevel="0" collapsed="false">
      <c r="A24" s="15" t="s">
        <v>889</v>
      </c>
      <c r="B24" s="15" t="s">
        <v>890</v>
      </c>
      <c r="C24" s="16" t="s">
        <v>891</v>
      </c>
      <c r="D24" s="16" t="s">
        <v>892</v>
      </c>
      <c r="E24" s="16" t="s">
        <v>893</v>
      </c>
      <c r="F24" s="16" t="s">
        <v>894</v>
      </c>
      <c r="G24" s="16" t="s">
        <v>8</v>
      </c>
      <c r="H24" s="16" t="s">
        <v>351</v>
      </c>
      <c r="I24" s="16" t="s">
        <v>220</v>
      </c>
    </row>
    <row r="25" customFormat="false" ht="23.85" hidden="false" customHeight="false" outlineLevel="0" collapsed="false">
      <c r="A25" s="15" t="s">
        <v>895</v>
      </c>
      <c r="B25" s="15" t="s">
        <v>40</v>
      </c>
      <c r="C25" s="16" t="s">
        <v>896</v>
      </c>
      <c r="D25" s="16" t="s">
        <v>897</v>
      </c>
      <c r="E25" s="16" t="s">
        <v>898</v>
      </c>
      <c r="F25" s="16" t="s">
        <v>899</v>
      </c>
      <c r="G25" s="16" t="s">
        <v>7</v>
      </c>
      <c r="H25" s="16" t="s">
        <v>351</v>
      </c>
      <c r="I25" s="16" t="s">
        <v>220</v>
      </c>
    </row>
  </sheetData>
  <autoFilter ref="A4:I25"/>
  <conditionalFormatting sqref="G5:G25">
    <cfRule type="cellIs" priority="2" operator="equal" aboveAverage="0" equalAverage="0" bottom="0" percent="0" rank="0" text="" dxfId="61">
      <formula>"Alta"</formula>
    </cfRule>
    <cfRule type="cellIs" priority="3" operator="equal" aboveAverage="0" equalAverage="0" bottom="0" percent="0" rank="0" text="" dxfId="62">
      <formula>"Média"</formula>
    </cfRule>
    <cfRule type="cellIs" priority="4" operator="equal" aboveAverage="0" equalAverage="0" bottom="0" percent="0" rank="0" text="" dxfId="63">
      <formula>"Baixa"</formula>
    </cfRule>
  </conditionalFormatting>
  <conditionalFormatting sqref="I5:I25">
    <cfRule type="cellIs" priority="5" operator="equal" aboveAverage="0" equalAverage="0" bottom="0" percent="0" rank="0" text="" dxfId="64">
      <formula>"Feito"</formula>
    </cfRule>
    <cfRule type="cellIs" priority="6" operator="equal" aboveAverage="0" equalAverage="0" bottom="0" percent="0" rank="0" text="" dxfId="65">
      <formula>"Em curso"</formula>
    </cfRule>
  </conditionalFormatting>
  <dataValidations count="2">
    <dataValidation allowBlank="true" errorStyle="stop" operator="between" showDropDown="false" showErrorMessage="false" showInputMessage="false" sqref="G5:G25" type="list">
      <formula1>"Alta,Média,Baixa"</formula1>
      <formula2>0</formula2>
    </dataValidation>
    <dataValidation allowBlank="true" errorStyle="stop" operator="between" showDropDown="false" showErrorMessage="false" showInputMessage="false" sqref="I5:I25" type="list">
      <formula1>"Por fazer,Em curso,Feito,Não aplicar"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900</v>
      </c>
    </row>
    <row r="2" customFormat="false" ht="15" hidden="false" customHeight="false" outlineLevel="0" collapsed="false">
      <c r="A2" s="2" t="s">
        <v>901</v>
      </c>
    </row>
    <row r="4" customFormat="false" ht="31.5" hidden="false" customHeight="true" outlineLevel="0" collapsed="false">
      <c r="A4" s="5" t="s">
        <v>902</v>
      </c>
      <c r="B4" s="5" t="s">
        <v>903</v>
      </c>
      <c r="C4" s="5" t="s">
        <v>904</v>
      </c>
      <c r="D4" s="5" t="s">
        <v>905</v>
      </c>
      <c r="E4" s="5" t="s">
        <v>906</v>
      </c>
      <c r="F4" s="5" t="s">
        <v>907</v>
      </c>
    </row>
    <row r="5" customFormat="false" ht="15" hidden="false" customHeight="false" outlineLevel="0" collapsed="false">
      <c r="A5" s="15" t="s">
        <v>908</v>
      </c>
      <c r="B5" s="16" t="s">
        <v>909</v>
      </c>
      <c r="C5" s="16" t="s">
        <v>910</v>
      </c>
      <c r="D5" s="16" t="s">
        <v>911</v>
      </c>
      <c r="E5" s="16" t="s">
        <v>912</v>
      </c>
      <c r="F5" s="105" t="str">
        <f aca="false">IF(B5=D5,"Sim","Não")</f>
        <v>Não</v>
      </c>
    </row>
    <row r="6" customFormat="false" ht="15" hidden="false" customHeight="false" outlineLevel="0" collapsed="false">
      <c r="A6" s="15" t="s">
        <v>913</v>
      </c>
      <c r="B6" s="16" t="s">
        <v>914</v>
      </c>
      <c r="C6" s="16" t="s">
        <v>915</v>
      </c>
      <c r="D6" s="16" t="s">
        <v>916</v>
      </c>
      <c r="E6" s="16" t="s">
        <v>917</v>
      </c>
      <c r="F6" s="105" t="str">
        <f aca="false">IF(B6=D6,"Sim","Não")</f>
        <v>Não</v>
      </c>
    </row>
    <row r="7" customFormat="false" ht="15" hidden="false" customHeight="false" outlineLevel="0" collapsed="false">
      <c r="A7" s="15" t="s">
        <v>918</v>
      </c>
      <c r="B7" s="16" t="s">
        <v>919</v>
      </c>
      <c r="C7" s="16" t="s">
        <v>920</v>
      </c>
      <c r="D7" s="16" t="s">
        <v>921</v>
      </c>
      <c r="E7" s="16" t="s">
        <v>922</v>
      </c>
      <c r="F7" s="105" t="str">
        <f aca="false">IF(B7=D7,"Sim","Não")</f>
        <v>Não</v>
      </c>
    </row>
    <row r="8" customFormat="false" ht="15" hidden="false" customHeight="false" outlineLevel="0" collapsed="false">
      <c r="A8" s="15" t="s">
        <v>923</v>
      </c>
      <c r="B8" s="16" t="s">
        <v>924</v>
      </c>
      <c r="C8" s="16" t="s">
        <v>925</v>
      </c>
      <c r="D8" s="16" t="s">
        <v>926</v>
      </c>
      <c r="E8" s="16" t="s">
        <v>927</v>
      </c>
      <c r="F8" s="105" t="str">
        <f aca="false">IF(B8=D8,"Sim","Não")</f>
        <v>Não</v>
      </c>
    </row>
    <row r="9" customFormat="false" ht="15" hidden="false" customHeight="false" outlineLevel="0" collapsed="false">
      <c r="A9" s="15" t="s">
        <v>928</v>
      </c>
      <c r="B9" s="16" t="s">
        <v>929</v>
      </c>
      <c r="C9" s="16" t="s">
        <v>930</v>
      </c>
      <c r="D9" s="16" t="s">
        <v>931</v>
      </c>
      <c r="E9" s="16" t="s">
        <v>932</v>
      </c>
      <c r="F9" s="105" t="str">
        <f aca="false">IF(B9=D9,"Sim","Não")</f>
        <v>Não</v>
      </c>
    </row>
    <row r="10" customFormat="false" ht="15" hidden="false" customHeight="false" outlineLevel="0" collapsed="false">
      <c r="A10" s="15" t="s">
        <v>933</v>
      </c>
      <c r="B10" s="16" t="s">
        <v>934</v>
      </c>
      <c r="C10" s="16" t="s">
        <v>935</v>
      </c>
      <c r="D10" s="16" t="s">
        <v>936</v>
      </c>
      <c r="E10" s="16" t="s">
        <v>937</v>
      </c>
      <c r="F10" s="105" t="str">
        <f aca="false">IF(B10=D10,"Sim","Não")</f>
        <v>Não</v>
      </c>
    </row>
    <row r="11" customFormat="false" ht="15" hidden="false" customHeight="false" outlineLevel="0" collapsed="false">
      <c r="A11" s="15" t="s">
        <v>938</v>
      </c>
      <c r="B11" s="16" t="s">
        <v>939</v>
      </c>
      <c r="C11" s="16" t="s">
        <v>940</v>
      </c>
      <c r="D11" s="16" t="s">
        <v>941</v>
      </c>
      <c r="E11" s="16" t="s">
        <v>942</v>
      </c>
      <c r="F11" s="105" t="str">
        <f aca="false">IF(B11=D11,"Sim","Não")</f>
        <v>Não</v>
      </c>
    </row>
    <row r="12" customFormat="false" ht="15" hidden="false" customHeight="false" outlineLevel="0" collapsed="false">
      <c r="A12" s="15" t="s">
        <v>943</v>
      </c>
      <c r="B12" s="16" t="s">
        <v>944</v>
      </c>
      <c r="C12" s="16" t="s">
        <v>910</v>
      </c>
      <c r="D12" s="16" t="s">
        <v>945</v>
      </c>
      <c r="E12" s="16" t="s">
        <v>946</v>
      </c>
      <c r="F12" s="105" t="str">
        <f aca="false">IF(B12=D12,"Sim","Não")</f>
        <v>Não</v>
      </c>
    </row>
    <row r="13" customFormat="false" ht="15" hidden="false" customHeight="false" outlineLevel="0" collapsed="false">
      <c r="A13" s="15" t="s">
        <v>947</v>
      </c>
      <c r="B13" s="16" t="s">
        <v>948</v>
      </c>
      <c r="C13" s="16" t="s">
        <v>915</v>
      </c>
      <c r="D13" s="16" t="s">
        <v>949</v>
      </c>
      <c r="E13" s="16" t="s">
        <v>950</v>
      </c>
      <c r="F13" s="105" t="str">
        <f aca="false">IF(B13=D13,"Sim","Não")</f>
        <v>Não</v>
      </c>
    </row>
    <row r="14" customFormat="false" ht="15" hidden="false" customHeight="false" outlineLevel="0" collapsed="false">
      <c r="A14" s="15" t="s">
        <v>951</v>
      </c>
      <c r="B14" s="16" t="s">
        <v>952</v>
      </c>
      <c r="C14" s="16" t="s">
        <v>910</v>
      </c>
      <c r="D14" s="16" t="s">
        <v>953</v>
      </c>
      <c r="E14" s="16" t="s">
        <v>954</v>
      </c>
      <c r="F14" s="105" t="str">
        <f aca="false">IF(B14=D14,"Sim","Não")</f>
        <v>Não</v>
      </c>
    </row>
    <row r="15" customFormat="false" ht="15" hidden="false" customHeight="false" outlineLevel="0" collapsed="false">
      <c r="A15" s="15" t="s">
        <v>955</v>
      </c>
      <c r="B15" s="16" t="s">
        <v>949</v>
      </c>
      <c r="C15" s="16" t="s">
        <v>915</v>
      </c>
      <c r="D15" s="16" t="s">
        <v>949</v>
      </c>
      <c r="E15" s="16" t="s">
        <v>956</v>
      </c>
      <c r="F15" s="105" t="str">
        <f aca="false">IF(B15=D15,"Sim","Não")</f>
        <v>Sim</v>
      </c>
    </row>
    <row r="16" customFormat="false" ht="15" hidden="false" customHeight="false" outlineLevel="0" collapsed="false">
      <c r="A16" s="15" t="s">
        <v>957</v>
      </c>
      <c r="B16" s="16" t="s">
        <v>949</v>
      </c>
      <c r="C16" s="16" t="s">
        <v>958</v>
      </c>
      <c r="D16" s="16" t="s">
        <v>949</v>
      </c>
      <c r="E16" s="16" t="s">
        <v>959</v>
      </c>
      <c r="F16" s="105" t="str">
        <f aca="false">IF(B16=D16,"Sim","Não")</f>
        <v>Sim</v>
      </c>
    </row>
    <row r="17" customFormat="false" ht="15" hidden="false" customHeight="false" outlineLevel="0" collapsed="false">
      <c r="A17" s="15" t="s">
        <v>960</v>
      </c>
      <c r="B17" s="16" t="s">
        <v>961</v>
      </c>
      <c r="C17" s="16" t="s">
        <v>962</v>
      </c>
      <c r="D17" s="16" t="s">
        <v>949</v>
      </c>
      <c r="E17" s="16" t="s">
        <v>927</v>
      </c>
      <c r="F17" s="105" t="str">
        <f aca="false">IF(B17=D17,"Sim","Não")</f>
        <v>Não</v>
      </c>
    </row>
    <row r="18" customFormat="false" ht="15" hidden="false" customHeight="false" outlineLevel="0" collapsed="false">
      <c r="A18" s="15" t="s">
        <v>963</v>
      </c>
      <c r="B18" s="16" t="s">
        <v>916</v>
      </c>
      <c r="C18" s="16" t="s">
        <v>964</v>
      </c>
      <c r="D18" s="16" t="s">
        <v>916</v>
      </c>
      <c r="E18" s="16" t="s">
        <v>965</v>
      </c>
      <c r="F18" s="105" t="str">
        <f aca="false">IF(B18=D18,"Sim","Não")</f>
        <v>Sim</v>
      </c>
    </row>
    <row r="19" customFormat="false" ht="15" hidden="false" customHeight="false" outlineLevel="0" collapsed="false">
      <c r="A19" s="15" t="s">
        <v>966</v>
      </c>
      <c r="B19" s="16" t="s">
        <v>967</v>
      </c>
      <c r="C19" s="16" t="s">
        <v>964</v>
      </c>
      <c r="D19" s="16" t="s">
        <v>968</v>
      </c>
      <c r="E19" s="16" t="s">
        <v>969</v>
      </c>
      <c r="F19" s="105" t="str">
        <f aca="false">IF(B19=D19,"Sim","Não")</f>
        <v>Não</v>
      </c>
    </row>
    <row r="20" customFormat="false" ht="15" hidden="false" customHeight="false" outlineLevel="0" collapsed="false">
      <c r="A20" s="15" t="s">
        <v>970</v>
      </c>
      <c r="B20" s="16" t="s">
        <v>971</v>
      </c>
      <c r="C20" s="16" t="s">
        <v>972</v>
      </c>
      <c r="D20" s="16" t="s">
        <v>971</v>
      </c>
      <c r="E20" s="16" t="s">
        <v>973</v>
      </c>
      <c r="F20" s="105" t="str">
        <f aca="false">IF(B20=D20,"Sim","Não")</f>
        <v>Sim</v>
      </c>
    </row>
  </sheetData>
  <conditionalFormatting sqref="F5:F20">
    <cfRule type="cellIs" priority="2" operator="equal" aboveAverage="0" equalAverage="0" bottom="0" percent="0" rank="0" text="" dxfId="70">
      <formula>"Não"</formula>
    </cfRule>
    <cfRule type="cellIs" priority="3" operator="equal" aboveAverage="0" equalAverage="0" bottom="0" percent="0" rank="0" text="" dxfId="71">
      <formula>"Sim"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1" t="s">
        <v>974</v>
      </c>
    </row>
    <row r="2" customFormat="false" ht="15" hidden="false" customHeight="false" outlineLevel="0" collapsed="false">
      <c r="A2" s="2" t="s">
        <v>975</v>
      </c>
    </row>
    <row r="4" customFormat="false" ht="31.5" hidden="false" customHeight="true" outlineLevel="0" collapsed="false">
      <c r="A4" s="5" t="s">
        <v>976</v>
      </c>
      <c r="B4" s="5" t="s">
        <v>977</v>
      </c>
      <c r="C4" s="5" t="s">
        <v>978</v>
      </c>
      <c r="D4" s="5" t="s">
        <v>979</v>
      </c>
      <c r="E4" s="5" t="s">
        <v>216</v>
      </c>
      <c r="F4" s="5" t="s">
        <v>337</v>
      </c>
      <c r="G4" s="5" t="s">
        <v>217</v>
      </c>
    </row>
    <row r="5" customFormat="false" ht="15" hidden="false" customHeight="false" outlineLevel="0" collapsed="false">
      <c r="A5" s="106" t="n">
        <v>1</v>
      </c>
      <c r="B5" s="15" t="s">
        <v>980</v>
      </c>
      <c r="C5" s="16" t="s">
        <v>981</v>
      </c>
      <c r="D5" s="16" t="s">
        <v>982</v>
      </c>
      <c r="E5" s="16" t="s">
        <v>6</v>
      </c>
      <c r="F5" s="16" t="s">
        <v>351</v>
      </c>
      <c r="G5" s="16" t="s">
        <v>220</v>
      </c>
    </row>
    <row r="6" customFormat="false" ht="15" hidden="false" customHeight="false" outlineLevel="0" collapsed="false">
      <c r="A6" s="106" t="n">
        <v>2</v>
      </c>
      <c r="B6" s="15" t="s">
        <v>980</v>
      </c>
      <c r="C6" s="16" t="s">
        <v>983</v>
      </c>
      <c r="D6" s="16" t="s">
        <v>11</v>
      </c>
      <c r="E6" s="16" t="s">
        <v>6</v>
      </c>
      <c r="F6" s="16" t="s">
        <v>365</v>
      </c>
      <c r="G6" s="16" t="s">
        <v>220</v>
      </c>
    </row>
    <row r="7" customFormat="false" ht="15" hidden="false" customHeight="false" outlineLevel="0" collapsed="false">
      <c r="A7" s="106" t="n">
        <v>3</v>
      </c>
      <c r="B7" s="15" t="s">
        <v>980</v>
      </c>
      <c r="C7" s="16" t="s">
        <v>984</v>
      </c>
      <c r="D7" s="16" t="s">
        <v>801</v>
      </c>
      <c r="E7" s="16" t="s">
        <v>6</v>
      </c>
      <c r="F7" s="16" t="s">
        <v>351</v>
      </c>
      <c r="G7" s="16" t="s">
        <v>220</v>
      </c>
    </row>
    <row r="8" customFormat="false" ht="15" hidden="false" customHeight="false" outlineLevel="0" collapsed="false">
      <c r="A8" s="106" t="n">
        <v>4</v>
      </c>
      <c r="B8" s="15" t="s">
        <v>980</v>
      </c>
      <c r="C8" s="16" t="s">
        <v>985</v>
      </c>
      <c r="D8" s="16" t="s">
        <v>786</v>
      </c>
      <c r="E8" s="16" t="s">
        <v>6</v>
      </c>
      <c r="F8" s="16" t="s">
        <v>351</v>
      </c>
      <c r="G8" s="16" t="s">
        <v>220</v>
      </c>
    </row>
    <row r="9" customFormat="false" ht="15" hidden="false" customHeight="false" outlineLevel="0" collapsed="false">
      <c r="A9" s="106" t="n">
        <v>5</v>
      </c>
      <c r="B9" s="15" t="s">
        <v>986</v>
      </c>
      <c r="C9" s="16" t="s">
        <v>987</v>
      </c>
      <c r="D9" s="16" t="s">
        <v>988</v>
      </c>
      <c r="E9" s="16" t="s">
        <v>6</v>
      </c>
      <c r="F9" s="16" t="s">
        <v>351</v>
      </c>
      <c r="G9" s="16" t="s">
        <v>220</v>
      </c>
    </row>
    <row r="10" customFormat="false" ht="15" hidden="false" customHeight="false" outlineLevel="0" collapsed="false">
      <c r="A10" s="106" t="n">
        <v>6</v>
      </c>
      <c r="B10" s="15" t="s">
        <v>986</v>
      </c>
      <c r="C10" s="16" t="s">
        <v>989</v>
      </c>
      <c r="D10" s="16" t="s">
        <v>990</v>
      </c>
      <c r="E10" s="16" t="s">
        <v>7</v>
      </c>
      <c r="F10" s="16" t="s">
        <v>365</v>
      </c>
      <c r="G10" s="16" t="s">
        <v>220</v>
      </c>
    </row>
    <row r="11" customFormat="false" ht="23.85" hidden="false" customHeight="false" outlineLevel="0" collapsed="false">
      <c r="A11" s="106" t="n">
        <v>7</v>
      </c>
      <c r="B11" s="15" t="s">
        <v>991</v>
      </c>
      <c r="C11" s="16" t="s">
        <v>992</v>
      </c>
      <c r="D11" s="16" t="s">
        <v>993</v>
      </c>
      <c r="E11" s="16" t="s">
        <v>6</v>
      </c>
      <c r="F11" s="16" t="s">
        <v>351</v>
      </c>
      <c r="G11" s="16" t="s">
        <v>220</v>
      </c>
    </row>
    <row r="12" customFormat="false" ht="23.85" hidden="false" customHeight="false" outlineLevel="0" collapsed="false">
      <c r="A12" s="106" t="n">
        <v>8</v>
      </c>
      <c r="B12" s="15" t="s">
        <v>991</v>
      </c>
      <c r="C12" s="16" t="s">
        <v>994</v>
      </c>
      <c r="D12" s="16" t="s">
        <v>995</v>
      </c>
      <c r="E12" s="16" t="s">
        <v>6</v>
      </c>
      <c r="F12" s="16" t="s">
        <v>351</v>
      </c>
      <c r="G12" s="16" t="s">
        <v>220</v>
      </c>
    </row>
    <row r="13" customFormat="false" ht="15" hidden="false" customHeight="false" outlineLevel="0" collapsed="false">
      <c r="A13" s="106" t="n">
        <v>9</v>
      </c>
      <c r="B13" s="15" t="s">
        <v>991</v>
      </c>
      <c r="C13" s="16" t="s">
        <v>996</v>
      </c>
      <c r="D13" s="16" t="s">
        <v>997</v>
      </c>
      <c r="E13" s="16" t="s">
        <v>6</v>
      </c>
      <c r="F13" s="16" t="s">
        <v>365</v>
      </c>
      <c r="G13" s="16" t="s">
        <v>220</v>
      </c>
    </row>
    <row r="14" customFormat="false" ht="23.85" hidden="false" customHeight="false" outlineLevel="0" collapsed="false">
      <c r="A14" s="106" t="n">
        <v>10</v>
      </c>
      <c r="B14" s="15" t="s">
        <v>998</v>
      </c>
      <c r="C14" s="16" t="s">
        <v>999</v>
      </c>
      <c r="D14" s="16" t="s">
        <v>1000</v>
      </c>
      <c r="E14" s="16" t="s">
        <v>6</v>
      </c>
      <c r="F14" s="16" t="s">
        <v>365</v>
      </c>
      <c r="G14" s="16" t="s">
        <v>220</v>
      </c>
    </row>
    <row r="15" customFormat="false" ht="15" hidden="false" customHeight="false" outlineLevel="0" collapsed="false">
      <c r="A15" s="106" t="n">
        <v>11</v>
      </c>
      <c r="B15" s="15" t="s">
        <v>998</v>
      </c>
      <c r="C15" s="16" t="s">
        <v>1001</v>
      </c>
      <c r="D15" s="16" t="s">
        <v>12</v>
      </c>
      <c r="E15" s="16" t="s">
        <v>7</v>
      </c>
      <c r="F15" s="16" t="s">
        <v>351</v>
      </c>
      <c r="G15" s="16" t="s">
        <v>220</v>
      </c>
    </row>
    <row r="16" customFormat="false" ht="15" hidden="false" customHeight="false" outlineLevel="0" collapsed="false">
      <c r="A16" s="106" t="n">
        <v>12</v>
      </c>
      <c r="B16" s="15" t="s">
        <v>998</v>
      </c>
      <c r="C16" s="16" t="s">
        <v>1002</v>
      </c>
      <c r="D16" s="16" t="s">
        <v>1003</v>
      </c>
      <c r="E16" s="16" t="s">
        <v>7</v>
      </c>
      <c r="F16" s="16" t="s">
        <v>351</v>
      </c>
      <c r="G16" s="16" t="s">
        <v>220</v>
      </c>
    </row>
    <row r="17" customFormat="false" ht="15" hidden="false" customHeight="false" outlineLevel="0" collapsed="false">
      <c r="A17" s="106" t="n">
        <v>13</v>
      </c>
      <c r="B17" s="15" t="s">
        <v>1004</v>
      </c>
      <c r="C17" s="16" t="s">
        <v>1005</v>
      </c>
      <c r="D17" s="16" t="s">
        <v>1006</v>
      </c>
      <c r="E17" s="16" t="s">
        <v>7</v>
      </c>
      <c r="F17" s="16" t="s">
        <v>365</v>
      </c>
      <c r="G17" s="16" t="s">
        <v>220</v>
      </c>
    </row>
    <row r="18" customFormat="false" ht="23.85" hidden="false" customHeight="false" outlineLevel="0" collapsed="false">
      <c r="A18" s="106" t="n">
        <v>14</v>
      </c>
      <c r="B18" s="15" t="s">
        <v>1007</v>
      </c>
      <c r="C18" s="16" t="s">
        <v>1008</v>
      </c>
      <c r="D18" s="16" t="s">
        <v>1009</v>
      </c>
      <c r="E18" s="16" t="s">
        <v>6</v>
      </c>
      <c r="F18" s="16" t="s">
        <v>89</v>
      </c>
      <c r="G18" s="16" t="s">
        <v>220</v>
      </c>
    </row>
    <row r="19" customFormat="false" ht="15" hidden="false" customHeight="false" outlineLevel="0" collapsed="false">
      <c r="A19" s="106" t="n">
        <v>15</v>
      </c>
      <c r="B19" s="15" t="s">
        <v>1010</v>
      </c>
      <c r="C19" s="16" t="s">
        <v>1011</v>
      </c>
      <c r="D19" s="16" t="s">
        <v>1012</v>
      </c>
      <c r="E19" s="16" t="s">
        <v>8</v>
      </c>
      <c r="F19" s="16" t="s">
        <v>351</v>
      </c>
      <c r="G19" s="16" t="s">
        <v>220</v>
      </c>
    </row>
  </sheetData>
  <autoFilter ref="A4:G19"/>
  <conditionalFormatting sqref="E5:E19">
    <cfRule type="cellIs" priority="2" operator="equal" aboveAverage="0" equalAverage="0" bottom="0" percent="0" rank="0" text="" dxfId="61">
      <formula>"Alta"</formula>
    </cfRule>
    <cfRule type="cellIs" priority="3" operator="equal" aboveAverage="0" equalAverage="0" bottom="0" percent="0" rank="0" text="" dxfId="62">
      <formula>"Média"</formula>
    </cfRule>
    <cfRule type="cellIs" priority="4" operator="equal" aboveAverage="0" equalAverage="0" bottom="0" percent="0" rank="0" text="" dxfId="63">
      <formula>"Baixa"</formula>
    </cfRule>
  </conditionalFormatting>
  <conditionalFormatting sqref="G5:G19">
    <cfRule type="cellIs" priority="5" operator="equal" aboveAverage="0" equalAverage="0" bottom="0" percent="0" rank="0" text="" dxfId="64">
      <formula>"Feito"</formula>
    </cfRule>
    <cfRule type="cellIs" priority="6" operator="equal" aboveAverage="0" equalAverage="0" bottom="0" percent="0" rank="0" text="" dxfId="65">
      <formula>"Em curso"</formula>
    </cfRule>
  </conditionalFormatting>
  <dataValidations count="2">
    <dataValidation allowBlank="true" errorStyle="stop" operator="between" showDropDown="false" showErrorMessage="false" showInputMessage="false" sqref="E5:E19" type="list">
      <formula1>"Alta,Média,Baixa"</formula1>
      <formula2>0</formula2>
    </dataValidation>
    <dataValidation allowBlank="true" errorStyle="stop" operator="between" showDropDown="false" showErrorMessage="false" showInputMessage="false" sqref="G5:G19" type="list">
      <formula1>"Por fazer,Em curso,Feito,Não aplicar"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2026-10-06T09:02:10Z</dcterms:created>
  <dc:creator>openpyxl</dc:creator>
  <dc:description/>
  <dc:language>en-US</dc:language>
  <cp:lastModifiedBy/>
  <dcterms:modified xsi:type="dcterms:W3CDTF">2026-10-06T09:02:10Z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